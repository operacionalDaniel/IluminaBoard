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MENSAIS" sheetId="1" state="visible" r:id="rId1"/>
    <sheet xmlns:r="http://schemas.openxmlformats.org/officeDocument/2006/relationships" name="TABELAS_SLA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EVOLUÇÃO_A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FF"/>
      <sz val="8"/>
    </font>
    <font>
      <name val="Arial"/>
      <b val="1"/>
      <color rgb="001E3A5F"/>
      <sz val="9"/>
    </font>
    <font>
      <name val="Arial"/>
      <color rgb="000000FF"/>
      <sz val="9"/>
    </font>
    <font>
      <name val="Arial"/>
      <i val="1"/>
      <color rgb="00F59E0B"/>
      <sz val="8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E2E8F0"/>
      <sz val="9"/>
    </font>
    <font>
      <name val="Arial"/>
      <i val="1"/>
      <color rgb="0064748B"/>
      <sz val="7"/>
    </font>
    <font>
      <name val="Arial"/>
      <b val="1"/>
      <color rgb="009DB8D2"/>
      <sz val="9"/>
    </font>
    <font>
      <name val="Arial"/>
      <b val="1"/>
      <color rgb="00F59E0B"/>
      <sz val="9"/>
    </font>
  </fonts>
  <fills count="30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121827"/>
      </patternFill>
    </fill>
    <fill>
      <patternFill patternType="solid">
        <fgColor rgb="001E3A5F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052E16"/>
      </patternFill>
    </fill>
    <fill>
      <patternFill patternType="solid">
        <fgColor rgb="00713F12"/>
      </patternFill>
    </fill>
    <fill>
      <patternFill patternType="solid">
        <fgColor rgb="00451A03"/>
      </patternFill>
    </fill>
    <fill>
      <patternFill patternType="solid">
        <fgColor rgb="001A2F52"/>
      </patternFill>
    </fill>
    <fill>
      <patternFill patternType="solid">
        <fgColor rgb="006B1111"/>
      </patternFill>
    </fill>
    <fill>
      <patternFill patternType="solid">
        <fgColor rgb="000F4229"/>
      </patternFill>
    </fill>
    <fill>
      <patternFill patternType="solid">
        <fgColor rgb="00042318"/>
      </patternFill>
    </fill>
    <fill>
      <patternFill patternType="solid">
        <fgColor rgb="005B3209"/>
      </patternFill>
    </fill>
    <fill>
      <patternFill patternType="solid">
        <fgColor rgb="003A1502"/>
      </patternFill>
    </fill>
    <fill>
      <patternFill patternType="solid">
        <fgColor rgb="001A2535"/>
      </patternFill>
    </fill>
    <fill>
      <patternFill patternType="solid">
        <fgColor rgb="00D1E3FF"/>
      </patternFill>
    </fill>
    <fill>
      <patternFill patternType="solid">
        <fgColor rgb="00EFF6FF"/>
      </patternFill>
    </fill>
    <fill>
      <patternFill patternType="solid">
        <fgColor rgb="00C7DBFF"/>
      </patternFill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EF4444"/>
      </patternFill>
    </fill>
    <fill>
      <patternFill patternType="solid">
        <fgColor rgb="00131B2A"/>
      </patternFill>
    </fill>
    <fill>
      <patternFill patternType="solid">
        <fgColor rgb="000F1726"/>
      </patternFill>
    </fill>
    <fill>
      <patternFill patternType="solid">
        <fgColor rgb="0022C55E"/>
      </patternFill>
    </fill>
    <fill>
      <patternFill patternType="solid">
        <fgColor rgb="003B82F6"/>
      </patternFill>
    </fill>
    <fill>
      <patternFill patternType="solid">
        <fgColor rgb="00F59E0B"/>
      </patternFill>
    </fill>
    <fill>
      <patternFill patternType="solid">
        <fgColor rgb="001A3520"/>
      </patternFill>
    </fill>
    <fill>
      <patternFill patternType="solid">
        <fgColor rgb="00141C2B"/>
      </patternFill>
    </fill>
  </fills>
  <borders count="2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2" fontId="7" fillId="18" borderId="1" applyAlignment="1" pivotButton="0" quotePrefix="0" xfId="0">
      <alignment horizontal="center" vertical="center"/>
    </xf>
    <xf numFmtId="3" fontId="7" fillId="18" borderId="1" applyAlignment="1" pivotButton="0" quotePrefix="0" xfId="0">
      <alignment horizontal="center" vertical="center"/>
    </xf>
    <xf numFmtId="165" fontId="7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164" fontId="7" fillId="20" borderId="1" applyAlignment="1" pivotButton="0" quotePrefix="0" xfId="0">
      <alignment horizontal="center" vertical="center"/>
    </xf>
    <xf numFmtId="2" fontId="7" fillId="20" borderId="1" applyAlignment="1" pivotButton="0" quotePrefix="0" xfId="0">
      <alignment horizontal="center" vertical="center"/>
    </xf>
    <xf numFmtId="3" fontId="7" fillId="20" borderId="1" applyAlignment="1" pivotButton="0" quotePrefix="0" xfId="0">
      <alignment horizontal="center" vertical="center"/>
    </xf>
    <xf numFmtId="165" fontId="7" fillId="20" borderId="1" applyAlignment="1" pivotButton="0" quotePrefix="0" xfId="0">
      <alignment horizontal="center" vertical="center"/>
    </xf>
    <xf numFmtId="0" fontId="8" fillId="21" borderId="0" applyAlignment="1" pivotButton="0" quotePrefix="0" xfId="0">
      <alignment horizontal="left"/>
    </xf>
    <xf numFmtId="0" fontId="9" fillId="2" borderId="0" applyAlignment="1" pivotButton="0" quotePrefix="0" xfId="0">
      <alignment horizontal="center" vertical="center"/>
    </xf>
    <xf numFmtId="0" fontId="10" fillId="22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0" fillId="25" borderId="0" applyAlignment="1" pivotButton="0" quotePrefix="0" xfId="0">
      <alignment horizontal="center" vertical="center"/>
    </xf>
    <xf numFmtId="0" fontId="10" fillId="26" borderId="0" applyAlignment="1" pivotButton="0" quotePrefix="0" xfId="0">
      <alignment horizontal="center" vertical="center"/>
    </xf>
    <xf numFmtId="0" fontId="10" fillId="27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center" vertical="center"/>
    </xf>
    <xf numFmtId="10" fontId="11" fillId="24" borderId="1" applyAlignment="1" pivotButton="0" quotePrefix="0" xfId="0">
      <alignment horizontal="center" vertical="center"/>
    </xf>
    <xf numFmtId="166" fontId="11" fillId="24" borderId="1" applyAlignment="1" pivotButton="0" quotePrefix="0" xfId="0">
      <alignment horizontal="center" vertical="center"/>
    </xf>
    <xf numFmtId="164" fontId="11" fillId="24" borderId="1" applyAlignment="1" pivotButton="0" quotePrefix="0" xfId="0">
      <alignment horizontal="center" vertical="center"/>
    </xf>
    <xf numFmtId="0" fontId="13" fillId="29" borderId="1" applyAlignment="1" pivotButton="0" quotePrefix="0" xfId="0">
      <alignment horizontal="center" vertical="center"/>
    </xf>
    <xf numFmtId="10" fontId="11" fillId="29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center" vertical="center"/>
    </xf>
    <xf numFmtId="166" fontId="11" fillId="29" borderId="1" applyAlignment="1" pivotButton="0" quotePrefix="0" xfId="0">
      <alignment horizontal="center" vertical="center"/>
    </xf>
    <xf numFmtId="164" fontId="11" fillId="29" borderId="1" applyAlignment="1" pivotButton="0" quotePrefix="0" xfId="0">
      <alignment horizontal="center" vertical="center"/>
    </xf>
    <xf numFmtId="2" fontId="11" fillId="24" borderId="1" applyAlignment="1" pivotButton="0" quotePrefix="0" xfId="0">
      <alignment horizontal="center" vertical="center"/>
    </xf>
    <xf numFmtId="2" fontId="11" fillId="29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/>
    </xf>
    <xf numFmtId="166" fontId="14" fillId="21" borderId="1" applyAlignment="1" pivotButton="0" quotePrefix="0" xfId="0">
      <alignment horizontal="center"/>
    </xf>
    <xf numFmtId="164" fontId="14" fillId="21" borderId="1" applyAlignment="1" pivotButton="0" quotePrefix="0" xfId="0">
      <alignment horizontal="center"/>
    </xf>
    <xf numFmtId="2" fontId="14" fillId="2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3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</cols>
  <sheetData>
    <row r="1" ht="38" customHeight="1">
      <c r="A1" s="1" t="inlineStr">
        <is>
          <t>DASHBOARD ILUMINAÇÃO PÚBLICA  ·  BASE DE DADOS MENSAL</t>
        </is>
      </c>
    </row>
    <row r="2" ht="16" customHeight="1">
      <c r="A2" s="2" t="inlineStr">
        <is>
          <t>Campos em AZUL = entrada de dados obrigatória  ·  Campos em PRETO = calculados automaticamente  ·  Não altere cabeçalhos</t>
        </is>
      </c>
    </row>
    <row r="3" ht="24" customHeight="1">
      <c r="A3" s="3" t="inlineStr"/>
      <c r="B3" s="4" t="inlineStr">
        <is>
          <t>FINANCEIRO</t>
        </is>
      </c>
      <c r="D3" s="5" t="inlineStr">
        <is>
          <t>SLA 1  ·  Pontos de IP Acesos</t>
        </is>
      </c>
      <c r="G3" s="6" t="inlineStr">
        <is>
          <t>SLA 2  ·  Emergência</t>
        </is>
      </c>
      <c r="I3" s="7" t="inlineStr">
        <is>
          <t>SLA 3  ·  Não Emerg.</t>
        </is>
      </c>
      <c r="K3" s="4" t="inlineStr">
        <is>
          <t>SLA 4  ·  Sistema</t>
        </is>
      </c>
      <c r="M3" s="8" t="inlineStr">
        <is>
          <t>SLA 5  ·  Distribuição Satisfação (%)</t>
        </is>
      </c>
      <c r="Q3" s="9" t="inlineStr">
        <is>
          <t>SLA 5  ·  Contagem</t>
        </is>
      </c>
    </row>
    <row r="4" ht="24" customHeight="1">
      <c r="A4" s="10" t="inlineStr"/>
      <c r="B4" s="11" t="inlineStr">
        <is>
          <t>CMM (R$)</t>
        </is>
      </c>
      <c r="C4" s="11" t="inlineStr">
        <is>
          <t>FM</t>
        </is>
      </c>
      <c r="D4" s="12" t="inlineStr">
        <is>
          <t>Nf</t>
        </is>
      </c>
      <c r="E4" s="12" t="inlineStr">
        <is>
          <t>Ni</t>
        </is>
      </c>
      <c r="F4" s="12" t="inlineStr">
        <is>
          <t>Pt</t>
        </is>
      </c>
      <c r="G4" s="13" t="inlineStr">
        <is>
          <t>NCEi</t>
        </is>
      </c>
      <c r="H4" s="13" t="inlineStr">
        <is>
          <t>NCEa</t>
        </is>
      </c>
      <c r="I4" s="14" t="inlineStr">
        <is>
          <t>NCNEi</t>
        </is>
      </c>
      <c r="J4" s="14" t="inlineStr">
        <is>
          <t>NCNEa</t>
        </is>
      </c>
      <c r="K4" s="11" t="inlineStr">
        <is>
          <t>Dm</t>
        </is>
      </c>
      <c r="L4" s="11" t="inlineStr">
        <is>
          <t>Ti (min)</t>
        </is>
      </c>
      <c r="M4" s="15" t="inlineStr">
        <is>
          <t>% Ótimo</t>
        </is>
      </c>
      <c r="N4" s="15" t="inlineStr">
        <is>
          <t>% Bom</t>
        </is>
      </c>
      <c r="O4" s="15" t="inlineStr">
        <is>
          <t>% Regular</t>
        </is>
      </c>
      <c r="P4" s="15" t="inlineStr">
        <is>
          <t>% Ruim</t>
        </is>
      </c>
      <c r="Q4" s="16" t="inlineStr">
        <is>
          <t>Total Lig.</t>
        </is>
      </c>
      <c r="R4" s="16" t="inlineStr">
        <is>
          <t>Não Opinou</t>
        </is>
      </c>
    </row>
    <row r="5" ht="32" customHeight="1">
      <c r="A5" s="17" t="inlineStr">
        <is>
          <t>Mês / Ano</t>
        </is>
      </c>
      <c r="B5" s="17" t="inlineStr">
        <is>
          <t>Contraprestação
Mensal Máxima</t>
        </is>
      </c>
      <c r="C5" s="17" t="inlineStr">
        <is>
          <t>Fator de
Modernização</t>
        </is>
      </c>
      <c r="D5" s="17" t="inlineStr">
        <is>
          <t>Nº Falhas
Geradas</t>
        </is>
      </c>
      <c r="E5" s="17" t="inlineStr">
        <is>
          <t>Nº Interv.
com Sucesso</t>
        </is>
      </c>
      <c r="F5" s="17" t="inlineStr">
        <is>
          <t>Nº Dispositivos
Telegerenciados</t>
        </is>
      </c>
      <c r="G5" s="17" t="inlineStr">
        <is>
          <t>Chamados Emerg.
Identificados</t>
        </is>
      </c>
      <c r="H5" s="17" t="inlineStr">
        <is>
          <t>Chamados Emerg.
Atendidos</t>
        </is>
      </c>
      <c r="I5" s="17" t="inlineStr">
        <is>
          <t>Chamados N.Em.
Identificados</t>
        </is>
      </c>
      <c r="J5" s="17" t="inlineStr">
        <is>
          <t>Chamados N.Em.
Atendidos</t>
        </is>
      </c>
      <c r="K5" s="17" t="inlineStr">
        <is>
          <t>Dias no
Mês (Dm)</t>
        </is>
      </c>
      <c r="L5" s="17" t="inlineStr">
        <is>
          <t>Tempo Inoper.
Sistema (min)</t>
        </is>
      </c>
      <c r="M5" s="17" t="inlineStr">
        <is>
          <t>Ótimo
(%)</t>
        </is>
      </c>
      <c r="N5" s="17" t="inlineStr">
        <is>
          <t>Bom
(%)</t>
        </is>
      </c>
      <c r="O5" s="17" t="inlineStr">
        <is>
          <t>Regular
(%)</t>
        </is>
      </c>
      <c r="P5" s="17" t="inlineStr">
        <is>
          <t>Ruim
(%)</t>
        </is>
      </c>
      <c r="Q5" s="17" t="inlineStr">
        <is>
          <t>Total
Ligações</t>
        </is>
      </c>
      <c r="R5" s="17" t="inlineStr">
        <is>
          <t>Não
Opinou</t>
        </is>
      </c>
    </row>
    <row r="6" ht="22" customHeight="1">
      <c r="A6" s="18" t="inlineStr">
        <is>
          <t>jan/26</t>
        </is>
      </c>
      <c r="B6" s="19" t="n"/>
      <c r="C6" s="20" t="n"/>
      <c r="D6" s="21" t="n"/>
      <c r="E6" s="21" t="n"/>
      <c r="F6" s="21" t="n"/>
      <c r="G6" s="21" t="n"/>
      <c r="H6" s="21" t="n"/>
      <c r="I6" s="21" t="n"/>
      <c r="J6" s="21" t="n"/>
      <c r="K6" s="21" t="n">
        <v>31</v>
      </c>
      <c r="L6" s="21" t="n"/>
      <c r="M6" s="22" t="n"/>
      <c r="N6" s="22" t="n"/>
      <c r="O6" s="22" t="n"/>
      <c r="P6" s="22" t="n"/>
      <c r="Q6" s="21" t="n"/>
      <c r="R6" s="21" t="n"/>
    </row>
    <row r="7" ht="22" customHeight="1">
      <c r="A7" s="23" t="inlineStr">
        <is>
          <t>fev/26</t>
        </is>
      </c>
      <c r="B7" s="24" t="n"/>
      <c r="C7" s="25" t="n"/>
      <c r="D7" s="26" t="n"/>
      <c r="E7" s="26" t="n"/>
      <c r="F7" s="26" t="n"/>
      <c r="G7" s="26" t="n"/>
      <c r="H7" s="26" t="n"/>
      <c r="I7" s="26" t="n"/>
      <c r="J7" s="26" t="n"/>
      <c r="K7" s="26" t="n">
        <v>28</v>
      </c>
      <c r="L7" s="26" t="n"/>
      <c r="M7" s="27" t="n"/>
      <c r="N7" s="27" t="n"/>
      <c r="O7" s="27" t="n"/>
      <c r="P7" s="27" t="n"/>
      <c r="Q7" s="26" t="n"/>
      <c r="R7" s="26" t="n"/>
    </row>
    <row r="8" ht="22" customHeight="1">
      <c r="A8" s="18" t="inlineStr">
        <is>
          <t>mar/26</t>
        </is>
      </c>
      <c r="B8" s="19" t="n"/>
      <c r="C8" s="20" t="n"/>
      <c r="D8" s="21" t="n"/>
      <c r="E8" s="21" t="n"/>
      <c r="F8" s="21" t="n"/>
      <c r="G8" s="21" t="n"/>
      <c r="H8" s="21" t="n"/>
      <c r="I8" s="21" t="n"/>
      <c r="J8" s="21" t="n"/>
      <c r="K8" s="21" t="n">
        <v>31</v>
      </c>
      <c r="L8" s="21" t="n"/>
      <c r="M8" s="22" t="n"/>
      <c r="N8" s="22" t="n"/>
      <c r="O8" s="22" t="n"/>
      <c r="P8" s="22" t="n"/>
      <c r="Q8" s="21" t="n"/>
      <c r="R8" s="21" t="n"/>
    </row>
    <row r="9" ht="22" customHeight="1">
      <c r="A9" s="23" t="inlineStr">
        <is>
          <t>abr/26</t>
        </is>
      </c>
      <c r="B9" s="24" t="n">
        <v>427136.76</v>
      </c>
      <c r="C9" s="25" t="n">
        <v>0.5</v>
      </c>
      <c r="D9" s="26" t="n">
        <v>221</v>
      </c>
      <c r="E9" s="26" t="n">
        <v>0</v>
      </c>
      <c r="F9" s="26" t="n">
        <v>15879</v>
      </c>
      <c r="G9" s="26" t="n">
        <v>2</v>
      </c>
      <c r="H9" s="26" t="n">
        <v>2</v>
      </c>
      <c r="I9" s="26" t="n">
        <v>15</v>
      </c>
      <c r="J9" s="26" t="n">
        <v>15</v>
      </c>
      <c r="K9" s="26" t="n">
        <v>30</v>
      </c>
      <c r="L9" s="26" t="n">
        <v>0</v>
      </c>
      <c r="M9" s="27" t="n">
        <v>64</v>
      </c>
      <c r="N9" s="27" t="n">
        <v>36</v>
      </c>
      <c r="O9" s="27" t="n">
        <v>0</v>
      </c>
      <c r="P9" s="27" t="n">
        <v>0</v>
      </c>
      <c r="Q9" s="26" t="n">
        <v>26</v>
      </c>
      <c r="R9" s="26" t="n">
        <v>2</v>
      </c>
    </row>
    <row r="10" ht="22" customHeight="1">
      <c r="A10" s="18" t="inlineStr">
        <is>
          <t>mai/26</t>
        </is>
      </c>
      <c r="B10" s="19" t="n"/>
      <c r="C10" s="20" t="n"/>
      <c r="D10" s="21" t="n"/>
      <c r="E10" s="21" t="n"/>
      <c r="F10" s="21" t="n"/>
      <c r="G10" s="21" t="n"/>
      <c r="H10" s="21" t="n"/>
      <c r="I10" s="21" t="n"/>
      <c r="J10" s="21" t="n"/>
      <c r="K10" s="21" t="n">
        <v>31</v>
      </c>
      <c r="L10" s="21" t="n"/>
      <c r="M10" s="22" t="n"/>
      <c r="N10" s="22" t="n"/>
      <c r="O10" s="22" t="n"/>
      <c r="P10" s="22" t="n"/>
      <c r="Q10" s="21" t="n"/>
      <c r="R10" s="21" t="n"/>
    </row>
    <row r="11" ht="22" customHeight="1">
      <c r="A11" s="23" t="inlineStr">
        <is>
          <t>jun/26</t>
        </is>
      </c>
      <c r="B11" s="24" t="n"/>
      <c r="C11" s="25" t="n"/>
      <c r="D11" s="26" t="n"/>
      <c r="E11" s="26" t="n"/>
      <c r="F11" s="26" t="n"/>
      <c r="G11" s="26" t="n"/>
      <c r="H11" s="26" t="n"/>
      <c r="I11" s="26" t="n"/>
      <c r="J11" s="26" t="n"/>
      <c r="K11" s="26" t="n">
        <v>30</v>
      </c>
      <c r="L11" s="26" t="n"/>
      <c r="M11" s="27" t="n"/>
      <c r="N11" s="27" t="n"/>
      <c r="O11" s="27" t="n"/>
      <c r="P11" s="27" t="n"/>
      <c r="Q11" s="26" t="n"/>
      <c r="R11" s="26" t="n"/>
    </row>
    <row r="12" ht="22" customHeight="1">
      <c r="A12" s="18" t="inlineStr">
        <is>
          <t>jul/26</t>
        </is>
      </c>
      <c r="B12" s="19" t="n"/>
      <c r="C12" s="20" t="n"/>
      <c r="D12" s="21" t="n"/>
      <c r="E12" s="21" t="n"/>
      <c r="F12" s="21" t="n"/>
      <c r="G12" s="21" t="n"/>
      <c r="H12" s="21" t="n"/>
      <c r="I12" s="21" t="n"/>
      <c r="J12" s="21" t="n"/>
      <c r="K12" s="21" t="n">
        <v>31</v>
      </c>
      <c r="L12" s="21" t="n"/>
      <c r="M12" s="22" t="n"/>
      <c r="N12" s="22" t="n"/>
      <c r="O12" s="22" t="n"/>
      <c r="P12" s="22" t="n"/>
      <c r="Q12" s="21" t="n"/>
      <c r="R12" s="21" t="n"/>
    </row>
    <row r="13" ht="22" customHeight="1">
      <c r="A13" s="23" t="inlineStr">
        <is>
          <t>ago/26</t>
        </is>
      </c>
      <c r="B13" s="24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6" t="n">
        <v>31</v>
      </c>
      <c r="L13" s="26" t="n"/>
      <c r="M13" s="27" t="n"/>
      <c r="N13" s="27" t="n"/>
      <c r="O13" s="27" t="n"/>
      <c r="P13" s="27" t="n"/>
      <c r="Q13" s="26" t="n"/>
      <c r="R13" s="26" t="n"/>
    </row>
    <row r="14" ht="22" customHeight="1">
      <c r="A14" s="18" t="inlineStr">
        <is>
          <t>set/26</t>
        </is>
      </c>
      <c r="B14" s="19" t="n"/>
      <c r="C14" s="20" t="n"/>
      <c r="D14" s="21" t="n"/>
      <c r="E14" s="21" t="n"/>
      <c r="F14" s="21" t="n"/>
      <c r="G14" s="21" t="n"/>
      <c r="H14" s="21" t="n"/>
      <c r="I14" s="21" t="n"/>
      <c r="J14" s="21" t="n"/>
      <c r="K14" s="21" t="n">
        <v>30</v>
      </c>
      <c r="L14" s="21" t="n"/>
      <c r="M14" s="22" t="n"/>
      <c r="N14" s="22" t="n"/>
      <c r="O14" s="22" t="n"/>
      <c r="P14" s="22" t="n"/>
      <c r="Q14" s="21" t="n"/>
      <c r="R14" s="21" t="n"/>
    </row>
    <row r="15" ht="22" customHeight="1">
      <c r="A15" s="23" t="inlineStr">
        <is>
          <t>out/26</t>
        </is>
      </c>
      <c r="B15" s="24" t="n"/>
      <c r="C15" s="25" t="n"/>
      <c r="D15" s="26" t="n"/>
      <c r="E15" s="26" t="n"/>
      <c r="F15" s="26" t="n"/>
      <c r="G15" s="26" t="n"/>
      <c r="H15" s="26" t="n"/>
      <c r="I15" s="26" t="n"/>
      <c r="J15" s="26" t="n"/>
      <c r="K15" s="26" t="n">
        <v>31</v>
      </c>
      <c r="L15" s="26" t="n"/>
      <c r="M15" s="27" t="n"/>
      <c r="N15" s="27" t="n"/>
      <c r="O15" s="27" t="n"/>
      <c r="P15" s="27" t="n"/>
      <c r="Q15" s="26" t="n"/>
      <c r="R15" s="26" t="n"/>
    </row>
    <row r="16" ht="22" customHeight="1">
      <c r="A16" s="18" t="inlineStr">
        <is>
          <t>nov/26</t>
        </is>
      </c>
      <c r="B16" s="19" t="n"/>
      <c r="C16" s="20" t="n"/>
      <c r="D16" s="21" t="n"/>
      <c r="E16" s="21" t="n"/>
      <c r="F16" s="21" t="n"/>
      <c r="G16" s="21" t="n"/>
      <c r="H16" s="21" t="n"/>
      <c r="I16" s="21" t="n"/>
      <c r="J16" s="21" t="n"/>
      <c r="K16" s="21" t="n">
        <v>30</v>
      </c>
      <c r="L16" s="21" t="n"/>
      <c r="M16" s="22" t="n"/>
      <c r="N16" s="22" t="n"/>
      <c r="O16" s="22" t="n"/>
      <c r="P16" s="22" t="n"/>
      <c r="Q16" s="21" t="n"/>
      <c r="R16" s="21" t="n"/>
    </row>
    <row r="17" ht="22" customHeight="1">
      <c r="A17" s="23" t="inlineStr">
        <is>
          <t>dez/26</t>
        </is>
      </c>
      <c r="B17" s="24" t="n"/>
      <c r="C17" s="25" t="n"/>
      <c r="D17" s="26" t="n"/>
      <c r="E17" s="26" t="n"/>
      <c r="F17" s="26" t="n"/>
      <c r="G17" s="26" t="n"/>
      <c r="H17" s="26" t="n"/>
      <c r="I17" s="26" t="n"/>
      <c r="J17" s="26" t="n"/>
      <c r="K17" s="26" t="n">
        <v>31</v>
      </c>
      <c r="L17" s="26" t="n"/>
      <c r="M17" s="27" t="n"/>
      <c r="N17" s="27" t="n"/>
      <c r="O17" s="27" t="n"/>
      <c r="P17" s="27" t="n"/>
      <c r="Q17" s="26" t="n"/>
      <c r="R17" s="26" t="n"/>
    </row>
    <row r="18" ht="22" customHeight="1"/>
    <row r="19" ht="22" customHeight="1"/>
    <row r="20" ht="18" customHeight="1">
      <c r="A20" s="28" t="inlineStr">
        <is>
          <t>⚠  INSTRUÇÕES:  1) Preencha uma linha por mês na ordem correta  ·  2) Não altere os nomes das colunas nem insira linhas antes da linha 6  ·  3) Formato do mês: xxx/AA  (ex: jan/26, fev/26)  ·  4) Dias no Mês (Dm) já preenchidos automaticamente — confira se necessário</t>
        </is>
      </c>
    </row>
    <row r="21" ht="22" customHeight="1"/>
  </sheetData>
  <mergeCells count="10">
    <mergeCell ref="A20:R20"/>
    <mergeCell ref="Q3:R3"/>
    <mergeCell ref="M3:P3"/>
    <mergeCell ref="A2:R2"/>
    <mergeCell ref="B3:C3"/>
    <mergeCell ref="D3:F3"/>
    <mergeCell ref="A1:R1"/>
    <mergeCell ref="G3:H3"/>
    <mergeCell ref="K3:L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0" customWidth="1" min="3" max="3"/>
  </cols>
  <sheetData>
    <row r="1" ht="32" customHeight="1">
      <c r="A1" s="29" t="inlineStr">
        <is>
          <t>TABELAS DE PONTUAÇÃO DOS SLAs — REFERÊNCIA DO CONTRATO</t>
        </is>
      </c>
    </row>
    <row r="3" ht="22" customHeight="1">
      <c r="A3" s="30" t="inlineStr">
        <is>
          <t>SLA 1 — Percentual de Pontos IP Acesos (PPA = 1-(Nf-Ni)/Pt)  [Peso: 40%]</t>
        </is>
      </c>
    </row>
    <row r="4">
      <c r="A4" s="31" t="inlineStr">
        <is>
          <t>Cumprimento Mínimo</t>
        </is>
      </c>
      <c r="B4" s="31" t="inlineStr">
        <is>
          <t>Cumprimento Máximo</t>
        </is>
      </c>
      <c r="C4" s="31" t="inlineStr">
        <is>
          <t>Valor do Indicador</t>
        </is>
      </c>
    </row>
    <row r="5">
      <c r="A5" s="32" t="inlineStr">
        <is>
          <t>99,01%</t>
        </is>
      </c>
      <c r="B5" s="32" t="inlineStr">
        <is>
          <t>100%</t>
        </is>
      </c>
      <c r="C5" s="32" t="n">
        <v>1</v>
      </c>
    </row>
    <row r="6">
      <c r="A6" s="33" t="inlineStr">
        <is>
          <t>98,01%</t>
        </is>
      </c>
      <c r="B6" s="33" t="inlineStr">
        <is>
          <t>99,00%</t>
        </is>
      </c>
      <c r="C6" s="33" t="n">
        <v>0.9</v>
      </c>
    </row>
    <row r="7">
      <c r="A7" s="32" t="inlineStr">
        <is>
          <t>97,01%</t>
        </is>
      </c>
      <c r="B7" s="32" t="inlineStr">
        <is>
          <t>98,00%</t>
        </is>
      </c>
      <c r="C7" s="32" t="n">
        <v>0.8</v>
      </c>
    </row>
    <row r="8">
      <c r="A8" s="33" t="inlineStr">
        <is>
          <t>96,01%</t>
        </is>
      </c>
      <c r="B8" s="33" t="inlineStr">
        <is>
          <t>97,00%</t>
        </is>
      </c>
      <c r="C8" s="33" t="n">
        <v>0.7</v>
      </c>
    </row>
    <row r="9">
      <c r="A9" s="32" t="inlineStr">
        <is>
          <t>0,00%</t>
        </is>
      </c>
      <c r="B9" s="32" t="inlineStr">
        <is>
          <t>96,00%</t>
        </is>
      </c>
      <c r="C9" s="32" t="n">
        <v>0</v>
      </c>
    </row>
    <row r="12" ht="22" customHeight="1">
      <c r="A12" s="34" t="inlineStr">
        <is>
          <t>SLA 2 — Chamados de Emergência (PCE = NCEa/NCEi)  [Peso: 20%]</t>
        </is>
      </c>
    </row>
    <row r="13">
      <c r="A13" s="31" t="inlineStr">
        <is>
          <t>Cumprimento Mínimo</t>
        </is>
      </c>
      <c r="B13" s="31" t="inlineStr">
        <is>
          <t>Cumprimento Máximo</t>
        </is>
      </c>
      <c r="C13" s="31" t="inlineStr">
        <is>
          <t>Valor do Indicador</t>
        </is>
      </c>
    </row>
    <row r="14">
      <c r="A14" s="32" t="inlineStr">
        <is>
          <t>93,76%</t>
        </is>
      </c>
      <c r="B14" s="32" t="inlineStr">
        <is>
          <t>100%</t>
        </is>
      </c>
      <c r="C14" s="32" t="n">
        <v>1</v>
      </c>
    </row>
    <row r="15">
      <c r="A15" s="33" t="inlineStr">
        <is>
          <t>87,51%</t>
        </is>
      </c>
      <c r="B15" s="33" t="inlineStr">
        <is>
          <t>93,75%</t>
        </is>
      </c>
      <c r="C15" s="33" t="n">
        <v>0.9</v>
      </c>
    </row>
    <row r="16">
      <c r="A16" s="32" t="inlineStr">
        <is>
          <t>81,26%</t>
        </is>
      </c>
      <c r="B16" s="32" t="inlineStr">
        <is>
          <t>87,50%</t>
        </is>
      </c>
      <c r="C16" s="32" t="n">
        <v>0.8</v>
      </c>
    </row>
    <row r="17">
      <c r="A17" s="33" t="inlineStr">
        <is>
          <t>75,01%</t>
        </is>
      </c>
      <c r="B17" s="33" t="inlineStr">
        <is>
          <t>81,25%</t>
        </is>
      </c>
      <c r="C17" s="33" t="n">
        <v>0.7</v>
      </c>
    </row>
    <row r="18">
      <c r="A18" s="32" t="inlineStr">
        <is>
          <t>0,00%</t>
        </is>
      </c>
      <c r="B18" s="32" t="inlineStr">
        <is>
          <t>75,00%</t>
        </is>
      </c>
      <c r="C18" s="32" t="n">
        <v>0</v>
      </c>
    </row>
    <row r="21" ht="22" customHeight="1">
      <c r="A21" s="34" t="inlineStr">
        <is>
          <t>SLA 3 — Chamados Não Emergenciais (PCNE = NCNEa/NCNEi)  [Peso: 20%]</t>
        </is>
      </c>
    </row>
    <row r="22">
      <c r="A22" s="31" t="inlineStr">
        <is>
          <t>Cumprimento Mínimo</t>
        </is>
      </c>
      <c r="B22" s="31" t="inlineStr">
        <is>
          <t>Cumprimento Máximo</t>
        </is>
      </c>
      <c r="C22" s="31" t="inlineStr">
        <is>
          <t>Valor do Indicador</t>
        </is>
      </c>
    </row>
    <row r="23">
      <c r="A23" s="32" t="inlineStr">
        <is>
          <t>93,76%</t>
        </is>
      </c>
      <c r="B23" s="32" t="inlineStr">
        <is>
          <t>100%</t>
        </is>
      </c>
      <c r="C23" s="32" t="n">
        <v>1</v>
      </c>
    </row>
    <row r="24">
      <c r="A24" s="33" t="inlineStr">
        <is>
          <t>87,51%</t>
        </is>
      </c>
      <c r="B24" s="33" t="inlineStr">
        <is>
          <t>93,75%</t>
        </is>
      </c>
      <c r="C24" s="33" t="n">
        <v>0.9</v>
      </c>
    </row>
    <row r="25">
      <c r="A25" s="32" t="inlineStr">
        <is>
          <t>81,26%</t>
        </is>
      </c>
      <c r="B25" s="32" t="inlineStr">
        <is>
          <t>87,50%</t>
        </is>
      </c>
      <c r="C25" s="32" t="n">
        <v>0.8</v>
      </c>
    </row>
    <row r="26">
      <c r="A26" s="33" t="inlineStr">
        <is>
          <t>75,01%</t>
        </is>
      </c>
      <c r="B26" s="33" t="inlineStr">
        <is>
          <t>81,25%</t>
        </is>
      </c>
      <c r="C26" s="33" t="n">
        <v>0.7</v>
      </c>
    </row>
    <row r="27">
      <c r="A27" s="32" t="inlineStr">
        <is>
          <t>0,00%</t>
        </is>
      </c>
      <c r="B27" s="32" t="inlineStr">
        <is>
          <t>75,00%</t>
        </is>
      </c>
      <c r="C27" s="32" t="n">
        <v>0</v>
      </c>
    </row>
    <row r="30" ht="22" customHeight="1">
      <c r="A30" s="35" t="inlineStr">
        <is>
          <t>SLA 4 — Tempo de Operação do Sistema (TOS = (1440×Dm-Ti)/(1440×Dm))  [Peso: 10%]</t>
        </is>
      </c>
    </row>
    <row r="31">
      <c r="A31" s="31" t="inlineStr">
        <is>
          <t>Cumprimento Mínimo</t>
        </is>
      </c>
      <c r="B31" s="31" t="inlineStr">
        <is>
          <t>Cumprimento Máximo</t>
        </is>
      </c>
      <c r="C31" s="31" t="inlineStr">
        <is>
          <t>Valor do Indicador</t>
        </is>
      </c>
    </row>
    <row r="32">
      <c r="A32" s="32" t="inlineStr">
        <is>
          <t>99,01%</t>
        </is>
      </c>
      <c r="B32" s="32" t="inlineStr">
        <is>
          <t>100%</t>
        </is>
      </c>
      <c r="C32" s="32" t="n">
        <v>1</v>
      </c>
    </row>
    <row r="33">
      <c r="A33" s="33" t="inlineStr">
        <is>
          <t>98,01%</t>
        </is>
      </c>
      <c r="B33" s="33" t="inlineStr">
        <is>
          <t>99,00%</t>
        </is>
      </c>
      <c r="C33" s="33" t="n">
        <v>0.9</v>
      </c>
    </row>
    <row r="34">
      <c r="A34" s="32" t="inlineStr">
        <is>
          <t>97,01%</t>
        </is>
      </c>
      <c r="B34" s="32" t="inlineStr">
        <is>
          <t>98,00%</t>
        </is>
      </c>
      <c r="C34" s="32" t="n">
        <v>0.8</v>
      </c>
    </row>
    <row r="35">
      <c r="A35" s="33" t="inlineStr">
        <is>
          <t>96,01%</t>
        </is>
      </c>
      <c r="B35" s="33" t="inlineStr">
        <is>
          <t>97,00%</t>
        </is>
      </c>
      <c r="C35" s="33" t="n">
        <v>0.7</v>
      </c>
    </row>
    <row r="36">
      <c r="A36" s="32" t="inlineStr">
        <is>
          <t>0,00%</t>
        </is>
      </c>
      <c r="B36" s="32" t="inlineStr">
        <is>
          <t>96,00%</t>
        </is>
      </c>
      <c r="C36" s="32" t="n">
        <v>0</v>
      </c>
    </row>
    <row r="39" ht="22" customHeight="1">
      <c r="A39" s="36" t="inlineStr">
        <is>
          <t>SLA 5 — Pesquisa de Satisfação (% Ótimo + % Bom)  [Peso: 10%]</t>
        </is>
      </c>
    </row>
    <row r="40">
      <c r="A40" s="31" t="inlineStr">
        <is>
          <t>Classificação</t>
        </is>
      </c>
      <c r="B40" s="31" t="inlineStr">
        <is>
          <t>Faixa</t>
        </is>
      </c>
      <c r="C40" s="31" t="inlineStr">
        <is>
          <t>Valor do Indicador</t>
        </is>
      </c>
    </row>
    <row r="41">
      <c r="A41" s="32" t="inlineStr">
        <is>
          <t>Ruim</t>
        </is>
      </c>
      <c r="B41" s="32" t="inlineStr">
        <is>
          <t>SLA &lt; 60%</t>
        </is>
      </c>
      <c r="C41" s="32" t="n">
        <v>0</v>
      </c>
    </row>
    <row r="42">
      <c r="A42" s="33" t="inlineStr">
        <is>
          <t>Regular</t>
        </is>
      </c>
      <c r="B42" s="33" t="inlineStr">
        <is>
          <t>60% ≤ SLA ≤ 70%</t>
        </is>
      </c>
      <c r="C42" s="33" t="n">
        <v>0</v>
      </c>
    </row>
    <row r="43">
      <c r="A43" s="32" t="inlineStr">
        <is>
          <t>Bom</t>
        </is>
      </c>
      <c r="B43" s="32" t="inlineStr">
        <is>
          <t>70% ≤ SLA ≤ 90%</t>
        </is>
      </c>
      <c r="C43" s="32" t="n">
        <v>0.9</v>
      </c>
    </row>
    <row r="44">
      <c r="A44" s="33" t="inlineStr">
        <is>
          <t>Ótimo</t>
        </is>
      </c>
      <c r="B44" s="33" t="inlineStr">
        <is>
          <t>SLA ≥ 90%</t>
        </is>
      </c>
      <c r="C44" s="33" t="n">
        <v>1</v>
      </c>
    </row>
    <row r="47" ht="22" customHeight="1">
      <c r="A47" s="37" t="inlineStr">
        <is>
          <t>FÓRMULA DO ÍNDICE DE EFICIÊNCIA:  IE = (SLA1 × 0,4) + (SLA2 × 0,2) + (SLA3 × 0,2) + (SLA4 × 0,1) + (SLA5 × 0,1)</t>
        </is>
      </c>
    </row>
    <row r="48" ht="22" customHeight="1">
      <c r="A48" s="37" t="inlineStr">
        <is>
          <t>FÓRMULA DA CME:  CME = CMM × FM × IE</t>
        </is>
      </c>
    </row>
  </sheetData>
  <mergeCells count="8">
    <mergeCell ref="A47:C47"/>
    <mergeCell ref="A1:C1"/>
    <mergeCell ref="A3:C3"/>
    <mergeCell ref="A21:C21"/>
    <mergeCell ref="A30:C30"/>
    <mergeCell ref="A39:C39"/>
    <mergeCell ref="A12:C12"/>
    <mergeCell ref="A48:C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13" customWidth="1" min="11" max="11"/>
    <col width="9" customWidth="1" min="12" max="12"/>
    <col width="9" customWidth="1" min="13" max="13"/>
    <col width="9" customWidth="1" min="14" max="14"/>
    <col width="10" customWidth="1" min="15" max="15"/>
    <col width="16" customWidth="1" min="16" max="16"/>
  </cols>
  <sheetData>
    <row r="1" ht="32" customHeight="1">
      <c r="A1" s="29" t="inlineStr">
        <is>
          <t>RESULTADOS CALCULADOS — NÃO EDITAR MANUALMENTE  ·  Atualizado automaticamente via DADOS_MENSAIS</t>
        </is>
      </c>
    </row>
    <row r="3" ht="22" customHeight="1">
      <c r="A3" s="3" t="inlineStr"/>
      <c r="B3" s="5" t="inlineStr">
        <is>
          <t>SLA 1  ·  Pontos Acesos</t>
        </is>
      </c>
      <c r="E3" s="6" t="inlineStr">
        <is>
          <t>SLA 2  ·  Emergência</t>
        </is>
      </c>
      <c r="H3" s="7" t="inlineStr">
        <is>
          <t>SLA 3  ·  Não Emerg.</t>
        </is>
      </c>
      <c r="K3" s="4" t="inlineStr">
        <is>
          <t>SLA 4  ·  Sistema</t>
        </is>
      </c>
      <c r="N3" s="8" t="inlineStr">
        <is>
          <t>SLA 5</t>
        </is>
      </c>
      <c r="O3" s="31" t="inlineStr">
        <is>
          <t>IE</t>
        </is>
      </c>
      <c r="P3" s="38" t="inlineStr">
        <is>
          <t>CME</t>
        </is>
      </c>
    </row>
    <row r="4" ht="20" customHeight="1">
      <c r="A4" s="39" t="inlineStr"/>
      <c r="B4" s="39" t="inlineStr">
        <is>
          <t>PPA %</t>
        </is>
      </c>
      <c r="C4" s="39" t="inlineStr">
        <is>
          <t>Score</t>
        </is>
      </c>
      <c r="D4" s="39" t="inlineStr">
        <is>
          <t>Contrib.</t>
        </is>
      </c>
      <c r="E4" s="39" t="inlineStr">
        <is>
          <t>PCE %</t>
        </is>
      </c>
      <c r="F4" s="39" t="inlineStr">
        <is>
          <t>Score</t>
        </is>
      </c>
      <c r="G4" s="39" t="inlineStr">
        <is>
          <t>Contrib.</t>
        </is>
      </c>
      <c r="H4" s="39" t="inlineStr">
        <is>
          <t>PCNE %</t>
        </is>
      </c>
      <c r="I4" s="39" t="inlineStr">
        <is>
          <t>Score</t>
        </is>
      </c>
      <c r="J4" s="39" t="inlineStr">
        <is>
          <t>Contrib.</t>
        </is>
      </c>
      <c r="K4" s="39" t="inlineStr">
        <is>
          <t>TOS %</t>
        </is>
      </c>
      <c r="L4" s="39" t="inlineStr">
        <is>
          <t>Score</t>
        </is>
      </c>
      <c r="M4" s="39" t="inlineStr">
        <is>
          <t>Contrib.</t>
        </is>
      </c>
      <c r="N4" s="39" t="inlineStr">
        <is>
          <t>Score</t>
        </is>
      </c>
      <c r="O4" s="39" t="inlineStr">
        <is>
          <t>IE (FE)</t>
        </is>
      </c>
      <c r="P4" s="39" t="inlineStr">
        <is>
          <t>CME (R$)</t>
        </is>
      </c>
    </row>
    <row r="5" ht="24" customHeight="1">
      <c r="A5" s="40" t="inlineStr">
        <is>
          <t>Mês</t>
        </is>
      </c>
      <c r="B5" s="40" t="inlineStr">
        <is>
          <t>1-(Nf-Ni)/Pt</t>
        </is>
      </c>
      <c r="C5" s="40" t="inlineStr">
        <is>
          <t>Tabela SLA1/4</t>
        </is>
      </c>
      <c r="D5" s="40" t="inlineStr">
        <is>
          <t>Score×0,4</t>
        </is>
      </c>
      <c r="E5" s="40" t="inlineStr">
        <is>
          <t>NCEa/NCEi</t>
        </is>
      </c>
      <c r="F5" s="40" t="inlineStr">
        <is>
          <t>Tabela SLA2/3</t>
        </is>
      </c>
      <c r="G5" s="40" t="inlineStr">
        <is>
          <t>Score×0,2</t>
        </is>
      </c>
      <c r="H5" s="40" t="inlineStr">
        <is>
          <t>NCNEa/NCNEi</t>
        </is>
      </c>
      <c r="I5" s="40" t="inlineStr">
        <is>
          <t>Tabela SLA2/3</t>
        </is>
      </c>
      <c r="J5" s="40" t="inlineStr">
        <is>
          <t>Score×0,2</t>
        </is>
      </c>
      <c r="K5" s="40" t="inlineStr">
        <is>
          <t>(1440Dm-Ti)/(1440Dm)</t>
        </is>
      </c>
      <c r="L5" s="40" t="inlineStr">
        <is>
          <t>Tabela SLA1/4</t>
        </is>
      </c>
      <c r="M5" s="40" t="inlineStr">
        <is>
          <t>Score×0,1</t>
        </is>
      </c>
      <c r="N5" s="40" t="inlineStr">
        <is>
          <t>Tabela SLA5</t>
        </is>
      </c>
      <c r="O5" s="40" t="inlineStr">
        <is>
          <t>B+D+G+J+M+(N×0,1)</t>
        </is>
      </c>
      <c r="P5" s="40" t="inlineStr">
        <is>
          <t>CMM×FM×IE</t>
        </is>
      </c>
    </row>
    <row r="6">
      <c r="A6" s="41">
        <f>DADOS_MENSAIS!A6</f>
        <v/>
      </c>
      <c r="B6" s="42">
        <f>IFERROR(1-(DADOS_MENSAIS!D6-DADOS_MENSAIS!E6)/DADOS_MENSAIS!F6,"")</f>
        <v/>
      </c>
      <c r="C6" s="33">
        <f>IFERROR(IF(B6&gt;=0.9901,1,IF(B6&gt;=0.9801,0.9,IF(B6&gt;=0.9701,0.8,IF(B6&gt;=0.9601,0.7,0)))),"")</f>
        <v/>
      </c>
      <c r="D6" s="33">
        <f>IFERROR(C6*0.4,"")</f>
        <v/>
      </c>
      <c r="E6" s="42">
        <f>IFERROR(DADOS_MENSAIS!H6/DADOS_MENSAIS!G6,"")</f>
        <v/>
      </c>
      <c r="F6" s="33">
        <f>IFERROR(IF(E6&gt;=0.9376,1,IF(E6&gt;=0.8751,0.9,IF(E6&gt;=0.8126,0.8,IF(E6&gt;=0.7501,0.7,0)))),"")</f>
        <v/>
      </c>
      <c r="G6" s="33">
        <f>IFERROR(F6*0.2,"")</f>
        <v/>
      </c>
      <c r="H6" s="42">
        <f>IFERROR(DADOS_MENSAIS!J6/DADOS_MENSAIS!I6,"")</f>
        <v/>
      </c>
      <c r="I6" s="33">
        <f>IFERROR(IF(H6&gt;=0.9376,1,IF(H6&gt;=0.8751,0.9,IF(H6&gt;=0.8126,0.8,IF(H6&gt;=0.7501,0.7,0)))),"")</f>
        <v/>
      </c>
      <c r="J6" s="33">
        <f>IFERROR(I6*0.2,"")</f>
        <v/>
      </c>
      <c r="K6" s="42">
        <f>IFERROR((1440*DADOS_MENSAIS!K6-DADOS_MENSAIS!L6)/(1440*DADOS_MENSAIS!K6),"")</f>
        <v/>
      </c>
      <c r="L6" s="33">
        <f>IFERROR(IF(K6&gt;=0.9901,1,IF(K6&gt;=0.9801,0.9,IF(K6&gt;=0.9701,0.8,IF(K6&gt;=0.9601,0.7,0)))),"")</f>
        <v/>
      </c>
      <c r="M6" s="33">
        <f>IFERROR(L6*0.1,"")</f>
        <v/>
      </c>
      <c r="N6" s="33">
        <f>IFERROR(IF((DADOS_MENSAIS!M6+DADOS_MENSAIS!N6)/100&gt;=0.9,1,IF((DADOS_MENSAIS!M6+DADOS_MENSAIS!N6)/100&gt;=0.7,0.9,0)),"")</f>
        <v/>
      </c>
      <c r="O6" s="43">
        <f>IFERROR(D6+G6+J6+M6+N6*0.1,"")</f>
        <v/>
      </c>
      <c r="P6" s="44">
        <f>IFERROR(DADOS_MENSAIS!B6*DADOS_MENSAIS!C6*O6,"")</f>
        <v/>
      </c>
    </row>
    <row r="7">
      <c r="A7" s="45">
        <f>DADOS_MENSAIS!A7</f>
        <v/>
      </c>
      <c r="B7" s="46">
        <f>IFERROR(1-(DADOS_MENSAIS!D7-DADOS_MENSAIS!E7)/DADOS_MENSAIS!F7,"")</f>
        <v/>
      </c>
      <c r="C7" s="47">
        <f>IFERROR(IF(B7&gt;=0.9901,1,IF(B7&gt;=0.9801,0.9,IF(B7&gt;=0.9701,0.8,IF(B7&gt;=0.9601,0.7,0)))),"")</f>
        <v/>
      </c>
      <c r="D7" s="47">
        <f>IFERROR(C7*0.4,"")</f>
        <v/>
      </c>
      <c r="E7" s="46">
        <f>IFERROR(DADOS_MENSAIS!H7/DADOS_MENSAIS!G7,"")</f>
        <v/>
      </c>
      <c r="F7" s="47">
        <f>IFERROR(IF(E7&gt;=0.9376,1,IF(E7&gt;=0.8751,0.9,IF(E7&gt;=0.8126,0.8,IF(E7&gt;=0.7501,0.7,0)))),"")</f>
        <v/>
      </c>
      <c r="G7" s="47">
        <f>IFERROR(F7*0.2,"")</f>
        <v/>
      </c>
      <c r="H7" s="46">
        <f>IFERROR(DADOS_MENSAIS!J7/DADOS_MENSAIS!I7,"")</f>
        <v/>
      </c>
      <c r="I7" s="47">
        <f>IFERROR(IF(H7&gt;=0.9376,1,IF(H7&gt;=0.8751,0.9,IF(H7&gt;=0.8126,0.8,IF(H7&gt;=0.7501,0.7,0)))),"")</f>
        <v/>
      </c>
      <c r="J7" s="47">
        <f>IFERROR(I7*0.2,"")</f>
        <v/>
      </c>
      <c r="K7" s="46">
        <f>IFERROR((1440*DADOS_MENSAIS!K7-DADOS_MENSAIS!L7)/(1440*DADOS_MENSAIS!K7),"")</f>
        <v/>
      </c>
      <c r="L7" s="47">
        <f>IFERROR(IF(K7&gt;=0.9901,1,IF(K7&gt;=0.9801,0.9,IF(K7&gt;=0.9701,0.8,IF(K7&gt;=0.9601,0.7,0)))),"")</f>
        <v/>
      </c>
      <c r="M7" s="47">
        <f>IFERROR(L7*0.1,"")</f>
        <v/>
      </c>
      <c r="N7" s="47">
        <f>IFERROR(IF((DADOS_MENSAIS!M7+DADOS_MENSAIS!N7)/100&gt;=0.9,1,IF((DADOS_MENSAIS!M7+DADOS_MENSAIS!N7)/100&gt;=0.7,0.9,0)),"")</f>
        <v/>
      </c>
      <c r="O7" s="48">
        <f>IFERROR(D7+G7+J7+M7+N7*0.1,"")</f>
        <v/>
      </c>
      <c r="P7" s="49">
        <f>IFERROR(DADOS_MENSAIS!B7*DADOS_MENSAIS!C7*O7,"")</f>
        <v/>
      </c>
    </row>
    <row r="8">
      <c r="A8" s="41">
        <f>DADOS_MENSAIS!A8</f>
        <v/>
      </c>
      <c r="B8" s="42">
        <f>IFERROR(1-(DADOS_MENSAIS!D8-DADOS_MENSAIS!E8)/DADOS_MENSAIS!F8,"")</f>
        <v/>
      </c>
      <c r="C8" s="33">
        <f>IFERROR(IF(B8&gt;=0.9901,1,IF(B8&gt;=0.9801,0.9,IF(B8&gt;=0.9701,0.8,IF(B8&gt;=0.9601,0.7,0)))),"")</f>
        <v/>
      </c>
      <c r="D8" s="33">
        <f>IFERROR(C8*0.4,"")</f>
        <v/>
      </c>
      <c r="E8" s="42">
        <f>IFERROR(DADOS_MENSAIS!H8/DADOS_MENSAIS!G8,"")</f>
        <v/>
      </c>
      <c r="F8" s="33">
        <f>IFERROR(IF(E8&gt;=0.9376,1,IF(E8&gt;=0.8751,0.9,IF(E8&gt;=0.8126,0.8,IF(E8&gt;=0.7501,0.7,0)))),"")</f>
        <v/>
      </c>
      <c r="G8" s="33">
        <f>IFERROR(F8*0.2,"")</f>
        <v/>
      </c>
      <c r="H8" s="42">
        <f>IFERROR(DADOS_MENSAIS!J8/DADOS_MENSAIS!I8,"")</f>
        <v/>
      </c>
      <c r="I8" s="33">
        <f>IFERROR(IF(H8&gt;=0.9376,1,IF(H8&gt;=0.8751,0.9,IF(H8&gt;=0.8126,0.8,IF(H8&gt;=0.7501,0.7,0)))),"")</f>
        <v/>
      </c>
      <c r="J8" s="33">
        <f>IFERROR(I8*0.2,"")</f>
        <v/>
      </c>
      <c r="K8" s="42">
        <f>IFERROR((1440*DADOS_MENSAIS!K8-DADOS_MENSAIS!L8)/(1440*DADOS_MENSAIS!K8),"")</f>
        <v/>
      </c>
      <c r="L8" s="33">
        <f>IFERROR(IF(K8&gt;=0.9901,1,IF(K8&gt;=0.9801,0.9,IF(K8&gt;=0.9701,0.8,IF(K8&gt;=0.9601,0.7,0)))),"")</f>
        <v/>
      </c>
      <c r="M8" s="33">
        <f>IFERROR(L8*0.1,"")</f>
        <v/>
      </c>
      <c r="N8" s="33">
        <f>IFERROR(IF((DADOS_MENSAIS!M8+DADOS_MENSAIS!N8)/100&gt;=0.9,1,IF((DADOS_MENSAIS!M8+DADOS_MENSAIS!N8)/100&gt;=0.7,0.9,0)),"")</f>
        <v/>
      </c>
      <c r="O8" s="43">
        <f>IFERROR(D8+G8+J8+M8+N8*0.1,"")</f>
        <v/>
      </c>
      <c r="P8" s="44">
        <f>IFERROR(DADOS_MENSAIS!B8*DADOS_MENSAIS!C8*O8,"")</f>
        <v/>
      </c>
    </row>
    <row r="9">
      <c r="A9" s="45">
        <f>DADOS_MENSAIS!A9</f>
        <v/>
      </c>
      <c r="B9" s="46">
        <f>IFERROR(1-(DADOS_MENSAIS!D9-DADOS_MENSAIS!E9)/DADOS_MENSAIS!F9,"")</f>
        <v/>
      </c>
      <c r="C9" s="47">
        <f>IFERROR(IF(B9&gt;=0.9901,1,IF(B9&gt;=0.9801,0.9,IF(B9&gt;=0.9701,0.8,IF(B9&gt;=0.9601,0.7,0)))),"")</f>
        <v/>
      </c>
      <c r="D9" s="47">
        <f>IFERROR(C9*0.4,"")</f>
        <v/>
      </c>
      <c r="E9" s="46">
        <f>IFERROR(DADOS_MENSAIS!H9/DADOS_MENSAIS!G9,"")</f>
        <v/>
      </c>
      <c r="F9" s="47">
        <f>IFERROR(IF(E9&gt;=0.9376,1,IF(E9&gt;=0.8751,0.9,IF(E9&gt;=0.8126,0.8,IF(E9&gt;=0.7501,0.7,0)))),"")</f>
        <v/>
      </c>
      <c r="G9" s="47">
        <f>IFERROR(F9*0.2,"")</f>
        <v/>
      </c>
      <c r="H9" s="46">
        <f>IFERROR(DADOS_MENSAIS!J9/DADOS_MENSAIS!I9,"")</f>
        <v/>
      </c>
      <c r="I9" s="47">
        <f>IFERROR(IF(H9&gt;=0.9376,1,IF(H9&gt;=0.8751,0.9,IF(H9&gt;=0.8126,0.8,IF(H9&gt;=0.7501,0.7,0)))),"")</f>
        <v/>
      </c>
      <c r="J9" s="47">
        <f>IFERROR(I9*0.2,"")</f>
        <v/>
      </c>
      <c r="K9" s="46">
        <f>IFERROR((1440*DADOS_MENSAIS!K9-DADOS_MENSAIS!L9)/(1440*DADOS_MENSAIS!K9),"")</f>
        <v/>
      </c>
      <c r="L9" s="47">
        <f>IFERROR(IF(K9&gt;=0.9901,1,IF(K9&gt;=0.9801,0.9,IF(K9&gt;=0.9701,0.8,IF(K9&gt;=0.9601,0.7,0)))),"")</f>
        <v/>
      </c>
      <c r="M9" s="47">
        <f>IFERROR(L9*0.1,"")</f>
        <v/>
      </c>
      <c r="N9" s="47">
        <f>IFERROR(IF((DADOS_MENSAIS!M9+DADOS_MENSAIS!N9)/100&gt;=0.9,1,IF((DADOS_MENSAIS!M9+DADOS_MENSAIS!N9)/100&gt;=0.7,0.9,0)),"")</f>
        <v/>
      </c>
      <c r="O9" s="48">
        <f>IFERROR(D9+G9+J9+M9+N9*0.1,"")</f>
        <v/>
      </c>
      <c r="P9" s="49">
        <f>IFERROR(DADOS_MENSAIS!B9*DADOS_MENSAIS!C9*O9,"")</f>
        <v/>
      </c>
    </row>
    <row r="10">
      <c r="A10" s="41">
        <f>DADOS_MENSAIS!A10</f>
        <v/>
      </c>
      <c r="B10" s="42">
        <f>IFERROR(1-(DADOS_MENSAIS!D10-DADOS_MENSAIS!E10)/DADOS_MENSAIS!F10,"")</f>
        <v/>
      </c>
      <c r="C10" s="33">
        <f>IFERROR(IF(B10&gt;=0.9901,1,IF(B10&gt;=0.9801,0.9,IF(B10&gt;=0.9701,0.8,IF(B10&gt;=0.9601,0.7,0)))),"")</f>
        <v/>
      </c>
      <c r="D10" s="33">
        <f>IFERROR(C10*0.4,"")</f>
        <v/>
      </c>
      <c r="E10" s="42">
        <f>IFERROR(DADOS_MENSAIS!H10/DADOS_MENSAIS!G10,"")</f>
        <v/>
      </c>
      <c r="F10" s="33">
        <f>IFERROR(IF(E10&gt;=0.9376,1,IF(E10&gt;=0.8751,0.9,IF(E10&gt;=0.8126,0.8,IF(E10&gt;=0.7501,0.7,0)))),"")</f>
        <v/>
      </c>
      <c r="G10" s="33">
        <f>IFERROR(F10*0.2,"")</f>
        <v/>
      </c>
      <c r="H10" s="42">
        <f>IFERROR(DADOS_MENSAIS!J10/DADOS_MENSAIS!I10,"")</f>
        <v/>
      </c>
      <c r="I10" s="33">
        <f>IFERROR(IF(H10&gt;=0.9376,1,IF(H10&gt;=0.8751,0.9,IF(H10&gt;=0.8126,0.8,IF(H10&gt;=0.7501,0.7,0)))),"")</f>
        <v/>
      </c>
      <c r="J10" s="33">
        <f>IFERROR(I10*0.2,"")</f>
        <v/>
      </c>
      <c r="K10" s="42">
        <f>IFERROR((1440*DADOS_MENSAIS!K10-DADOS_MENSAIS!L10)/(1440*DADOS_MENSAIS!K10),"")</f>
        <v/>
      </c>
      <c r="L10" s="33">
        <f>IFERROR(IF(K10&gt;=0.9901,1,IF(K10&gt;=0.9801,0.9,IF(K10&gt;=0.9701,0.8,IF(K10&gt;=0.9601,0.7,0)))),"")</f>
        <v/>
      </c>
      <c r="M10" s="33">
        <f>IFERROR(L10*0.1,"")</f>
        <v/>
      </c>
      <c r="N10" s="33">
        <f>IFERROR(IF((DADOS_MENSAIS!M10+DADOS_MENSAIS!N10)/100&gt;=0.9,1,IF((DADOS_MENSAIS!M10+DADOS_MENSAIS!N10)/100&gt;=0.7,0.9,0)),"")</f>
        <v/>
      </c>
      <c r="O10" s="43">
        <f>IFERROR(D10+G10+J10+M10+N10*0.1,"")</f>
        <v/>
      </c>
      <c r="P10" s="44">
        <f>IFERROR(DADOS_MENSAIS!B10*DADOS_MENSAIS!C10*O10,"")</f>
        <v/>
      </c>
    </row>
    <row r="11">
      <c r="A11" s="45">
        <f>DADOS_MENSAIS!A11</f>
        <v/>
      </c>
      <c r="B11" s="46">
        <f>IFERROR(1-(DADOS_MENSAIS!D11-DADOS_MENSAIS!E11)/DADOS_MENSAIS!F11,"")</f>
        <v/>
      </c>
      <c r="C11" s="47">
        <f>IFERROR(IF(B11&gt;=0.9901,1,IF(B11&gt;=0.9801,0.9,IF(B11&gt;=0.9701,0.8,IF(B11&gt;=0.9601,0.7,0)))),"")</f>
        <v/>
      </c>
      <c r="D11" s="47">
        <f>IFERROR(C11*0.4,"")</f>
        <v/>
      </c>
      <c r="E11" s="46">
        <f>IFERROR(DADOS_MENSAIS!H11/DADOS_MENSAIS!G11,"")</f>
        <v/>
      </c>
      <c r="F11" s="47">
        <f>IFERROR(IF(E11&gt;=0.9376,1,IF(E11&gt;=0.8751,0.9,IF(E11&gt;=0.8126,0.8,IF(E11&gt;=0.7501,0.7,0)))),"")</f>
        <v/>
      </c>
      <c r="G11" s="47">
        <f>IFERROR(F11*0.2,"")</f>
        <v/>
      </c>
      <c r="H11" s="46">
        <f>IFERROR(DADOS_MENSAIS!J11/DADOS_MENSAIS!I11,"")</f>
        <v/>
      </c>
      <c r="I11" s="47">
        <f>IFERROR(IF(H11&gt;=0.9376,1,IF(H11&gt;=0.8751,0.9,IF(H11&gt;=0.8126,0.8,IF(H11&gt;=0.7501,0.7,0)))),"")</f>
        <v/>
      </c>
      <c r="J11" s="47">
        <f>IFERROR(I11*0.2,"")</f>
        <v/>
      </c>
      <c r="K11" s="46">
        <f>IFERROR((1440*DADOS_MENSAIS!K11-DADOS_MENSAIS!L11)/(1440*DADOS_MENSAIS!K11),"")</f>
        <v/>
      </c>
      <c r="L11" s="47">
        <f>IFERROR(IF(K11&gt;=0.9901,1,IF(K11&gt;=0.9801,0.9,IF(K11&gt;=0.9701,0.8,IF(K11&gt;=0.9601,0.7,0)))),"")</f>
        <v/>
      </c>
      <c r="M11" s="47">
        <f>IFERROR(L11*0.1,"")</f>
        <v/>
      </c>
      <c r="N11" s="47">
        <f>IFERROR(IF((DADOS_MENSAIS!M11+DADOS_MENSAIS!N11)/100&gt;=0.9,1,IF((DADOS_MENSAIS!M11+DADOS_MENSAIS!N11)/100&gt;=0.7,0.9,0)),"")</f>
        <v/>
      </c>
      <c r="O11" s="48">
        <f>IFERROR(D11+G11+J11+M11+N11*0.1,"")</f>
        <v/>
      </c>
      <c r="P11" s="49">
        <f>IFERROR(DADOS_MENSAIS!B11*DADOS_MENSAIS!C11*O11,"")</f>
        <v/>
      </c>
    </row>
    <row r="12">
      <c r="A12" s="41">
        <f>DADOS_MENSAIS!A12</f>
        <v/>
      </c>
      <c r="B12" s="42">
        <f>IFERROR(1-(DADOS_MENSAIS!D12-DADOS_MENSAIS!E12)/DADOS_MENSAIS!F12,"")</f>
        <v/>
      </c>
      <c r="C12" s="33">
        <f>IFERROR(IF(B12&gt;=0.9901,1,IF(B12&gt;=0.9801,0.9,IF(B12&gt;=0.9701,0.8,IF(B12&gt;=0.9601,0.7,0)))),"")</f>
        <v/>
      </c>
      <c r="D12" s="33">
        <f>IFERROR(C12*0.4,"")</f>
        <v/>
      </c>
      <c r="E12" s="42">
        <f>IFERROR(DADOS_MENSAIS!H12/DADOS_MENSAIS!G12,"")</f>
        <v/>
      </c>
      <c r="F12" s="33">
        <f>IFERROR(IF(E12&gt;=0.9376,1,IF(E12&gt;=0.8751,0.9,IF(E12&gt;=0.8126,0.8,IF(E12&gt;=0.7501,0.7,0)))),"")</f>
        <v/>
      </c>
      <c r="G12" s="33">
        <f>IFERROR(F12*0.2,"")</f>
        <v/>
      </c>
      <c r="H12" s="42">
        <f>IFERROR(DADOS_MENSAIS!J12/DADOS_MENSAIS!I12,"")</f>
        <v/>
      </c>
      <c r="I12" s="33">
        <f>IFERROR(IF(H12&gt;=0.9376,1,IF(H12&gt;=0.8751,0.9,IF(H12&gt;=0.8126,0.8,IF(H12&gt;=0.7501,0.7,0)))),"")</f>
        <v/>
      </c>
      <c r="J12" s="33">
        <f>IFERROR(I12*0.2,"")</f>
        <v/>
      </c>
      <c r="K12" s="42">
        <f>IFERROR((1440*DADOS_MENSAIS!K12-DADOS_MENSAIS!L12)/(1440*DADOS_MENSAIS!K12),"")</f>
        <v/>
      </c>
      <c r="L12" s="33">
        <f>IFERROR(IF(K12&gt;=0.9901,1,IF(K12&gt;=0.9801,0.9,IF(K12&gt;=0.9701,0.8,IF(K12&gt;=0.9601,0.7,0)))),"")</f>
        <v/>
      </c>
      <c r="M12" s="33">
        <f>IFERROR(L12*0.1,"")</f>
        <v/>
      </c>
      <c r="N12" s="33">
        <f>IFERROR(IF((DADOS_MENSAIS!M12+DADOS_MENSAIS!N12)/100&gt;=0.9,1,IF((DADOS_MENSAIS!M12+DADOS_MENSAIS!N12)/100&gt;=0.7,0.9,0)),"")</f>
        <v/>
      </c>
      <c r="O12" s="43">
        <f>IFERROR(D12+G12+J12+M12+N12*0.1,"")</f>
        <v/>
      </c>
      <c r="P12" s="44">
        <f>IFERROR(DADOS_MENSAIS!B12*DADOS_MENSAIS!C12*O12,"")</f>
        <v/>
      </c>
    </row>
    <row r="13">
      <c r="A13" s="45">
        <f>DADOS_MENSAIS!A13</f>
        <v/>
      </c>
      <c r="B13" s="46">
        <f>IFERROR(1-(DADOS_MENSAIS!D13-DADOS_MENSAIS!E13)/DADOS_MENSAIS!F13,"")</f>
        <v/>
      </c>
      <c r="C13" s="47">
        <f>IFERROR(IF(B13&gt;=0.9901,1,IF(B13&gt;=0.9801,0.9,IF(B13&gt;=0.9701,0.8,IF(B13&gt;=0.9601,0.7,0)))),"")</f>
        <v/>
      </c>
      <c r="D13" s="47">
        <f>IFERROR(C13*0.4,"")</f>
        <v/>
      </c>
      <c r="E13" s="46">
        <f>IFERROR(DADOS_MENSAIS!H13/DADOS_MENSAIS!G13,"")</f>
        <v/>
      </c>
      <c r="F13" s="47">
        <f>IFERROR(IF(E13&gt;=0.9376,1,IF(E13&gt;=0.8751,0.9,IF(E13&gt;=0.8126,0.8,IF(E13&gt;=0.7501,0.7,0)))),"")</f>
        <v/>
      </c>
      <c r="G13" s="47">
        <f>IFERROR(F13*0.2,"")</f>
        <v/>
      </c>
      <c r="H13" s="46">
        <f>IFERROR(DADOS_MENSAIS!J13/DADOS_MENSAIS!I13,"")</f>
        <v/>
      </c>
      <c r="I13" s="47">
        <f>IFERROR(IF(H13&gt;=0.9376,1,IF(H13&gt;=0.8751,0.9,IF(H13&gt;=0.8126,0.8,IF(H13&gt;=0.7501,0.7,0)))),"")</f>
        <v/>
      </c>
      <c r="J13" s="47">
        <f>IFERROR(I13*0.2,"")</f>
        <v/>
      </c>
      <c r="K13" s="46">
        <f>IFERROR((1440*DADOS_MENSAIS!K13-DADOS_MENSAIS!L13)/(1440*DADOS_MENSAIS!K13),"")</f>
        <v/>
      </c>
      <c r="L13" s="47">
        <f>IFERROR(IF(K13&gt;=0.9901,1,IF(K13&gt;=0.9801,0.9,IF(K13&gt;=0.9701,0.8,IF(K13&gt;=0.9601,0.7,0)))),"")</f>
        <v/>
      </c>
      <c r="M13" s="47">
        <f>IFERROR(L13*0.1,"")</f>
        <v/>
      </c>
      <c r="N13" s="47">
        <f>IFERROR(IF((DADOS_MENSAIS!M13+DADOS_MENSAIS!N13)/100&gt;=0.9,1,IF((DADOS_MENSAIS!M13+DADOS_MENSAIS!N13)/100&gt;=0.7,0.9,0)),"")</f>
        <v/>
      </c>
      <c r="O13" s="48">
        <f>IFERROR(D13+G13+J13+M13+N13*0.1,"")</f>
        <v/>
      </c>
      <c r="P13" s="49">
        <f>IFERROR(DADOS_MENSAIS!B13*DADOS_MENSAIS!C13*O13,"")</f>
        <v/>
      </c>
    </row>
    <row r="14">
      <c r="A14" s="41">
        <f>DADOS_MENSAIS!A14</f>
        <v/>
      </c>
      <c r="B14" s="42">
        <f>IFERROR(1-(DADOS_MENSAIS!D14-DADOS_MENSAIS!E14)/DADOS_MENSAIS!F14,"")</f>
        <v/>
      </c>
      <c r="C14" s="33">
        <f>IFERROR(IF(B14&gt;=0.9901,1,IF(B14&gt;=0.9801,0.9,IF(B14&gt;=0.9701,0.8,IF(B14&gt;=0.9601,0.7,0)))),"")</f>
        <v/>
      </c>
      <c r="D14" s="33">
        <f>IFERROR(C14*0.4,"")</f>
        <v/>
      </c>
      <c r="E14" s="42">
        <f>IFERROR(DADOS_MENSAIS!H14/DADOS_MENSAIS!G14,"")</f>
        <v/>
      </c>
      <c r="F14" s="33">
        <f>IFERROR(IF(E14&gt;=0.9376,1,IF(E14&gt;=0.8751,0.9,IF(E14&gt;=0.8126,0.8,IF(E14&gt;=0.7501,0.7,0)))),"")</f>
        <v/>
      </c>
      <c r="G14" s="33">
        <f>IFERROR(F14*0.2,"")</f>
        <v/>
      </c>
      <c r="H14" s="42">
        <f>IFERROR(DADOS_MENSAIS!J14/DADOS_MENSAIS!I14,"")</f>
        <v/>
      </c>
      <c r="I14" s="33">
        <f>IFERROR(IF(H14&gt;=0.9376,1,IF(H14&gt;=0.8751,0.9,IF(H14&gt;=0.8126,0.8,IF(H14&gt;=0.7501,0.7,0)))),"")</f>
        <v/>
      </c>
      <c r="J14" s="33">
        <f>IFERROR(I14*0.2,"")</f>
        <v/>
      </c>
      <c r="K14" s="42">
        <f>IFERROR((1440*DADOS_MENSAIS!K14-DADOS_MENSAIS!L14)/(1440*DADOS_MENSAIS!K14),"")</f>
        <v/>
      </c>
      <c r="L14" s="33">
        <f>IFERROR(IF(K14&gt;=0.9901,1,IF(K14&gt;=0.9801,0.9,IF(K14&gt;=0.9701,0.8,IF(K14&gt;=0.9601,0.7,0)))),"")</f>
        <v/>
      </c>
      <c r="M14" s="33">
        <f>IFERROR(L14*0.1,"")</f>
        <v/>
      </c>
      <c r="N14" s="33">
        <f>IFERROR(IF((DADOS_MENSAIS!M14+DADOS_MENSAIS!N14)/100&gt;=0.9,1,IF((DADOS_MENSAIS!M14+DADOS_MENSAIS!N14)/100&gt;=0.7,0.9,0)),"")</f>
        <v/>
      </c>
      <c r="O14" s="43">
        <f>IFERROR(D14+G14+J14+M14+N14*0.1,"")</f>
        <v/>
      </c>
      <c r="P14" s="44">
        <f>IFERROR(DADOS_MENSAIS!B14*DADOS_MENSAIS!C14*O14,"")</f>
        <v/>
      </c>
    </row>
    <row r="15">
      <c r="A15" s="45">
        <f>DADOS_MENSAIS!A15</f>
        <v/>
      </c>
      <c r="B15" s="46">
        <f>IFERROR(1-(DADOS_MENSAIS!D15-DADOS_MENSAIS!E15)/DADOS_MENSAIS!F15,"")</f>
        <v/>
      </c>
      <c r="C15" s="47">
        <f>IFERROR(IF(B15&gt;=0.9901,1,IF(B15&gt;=0.9801,0.9,IF(B15&gt;=0.9701,0.8,IF(B15&gt;=0.9601,0.7,0)))),"")</f>
        <v/>
      </c>
      <c r="D15" s="47">
        <f>IFERROR(C15*0.4,"")</f>
        <v/>
      </c>
      <c r="E15" s="46">
        <f>IFERROR(DADOS_MENSAIS!H15/DADOS_MENSAIS!G15,"")</f>
        <v/>
      </c>
      <c r="F15" s="47">
        <f>IFERROR(IF(E15&gt;=0.9376,1,IF(E15&gt;=0.8751,0.9,IF(E15&gt;=0.8126,0.8,IF(E15&gt;=0.7501,0.7,0)))),"")</f>
        <v/>
      </c>
      <c r="G15" s="47">
        <f>IFERROR(F15*0.2,"")</f>
        <v/>
      </c>
      <c r="H15" s="46">
        <f>IFERROR(DADOS_MENSAIS!J15/DADOS_MENSAIS!I15,"")</f>
        <v/>
      </c>
      <c r="I15" s="47">
        <f>IFERROR(IF(H15&gt;=0.9376,1,IF(H15&gt;=0.8751,0.9,IF(H15&gt;=0.8126,0.8,IF(H15&gt;=0.7501,0.7,0)))),"")</f>
        <v/>
      </c>
      <c r="J15" s="47">
        <f>IFERROR(I15*0.2,"")</f>
        <v/>
      </c>
      <c r="K15" s="46">
        <f>IFERROR((1440*DADOS_MENSAIS!K15-DADOS_MENSAIS!L15)/(1440*DADOS_MENSAIS!K15),"")</f>
        <v/>
      </c>
      <c r="L15" s="47">
        <f>IFERROR(IF(K15&gt;=0.9901,1,IF(K15&gt;=0.9801,0.9,IF(K15&gt;=0.9701,0.8,IF(K15&gt;=0.9601,0.7,0)))),"")</f>
        <v/>
      </c>
      <c r="M15" s="47">
        <f>IFERROR(L15*0.1,"")</f>
        <v/>
      </c>
      <c r="N15" s="47">
        <f>IFERROR(IF((DADOS_MENSAIS!M15+DADOS_MENSAIS!N15)/100&gt;=0.9,1,IF((DADOS_MENSAIS!M15+DADOS_MENSAIS!N15)/100&gt;=0.7,0.9,0)),"")</f>
        <v/>
      </c>
      <c r="O15" s="48">
        <f>IFERROR(D15+G15+J15+M15+N15*0.1,"")</f>
        <v/>
      </c>
      <c r="P15" s="49">
        <f>IFERROR(DADOS_MENSAIS!B15*DADOS_MENSAIS!C15*O15,"")</f>
        <v/>
      </c>
    </row>
    <row r="16">
      <c r="A16" s="41">
        <f>DADOS_MENSAIS!A16</f>
        <v/>
      </c>
      <c r="B16" s="42">
        <f>IFERROR(1-(DADOS_MENSAIS!D16-DADOS_MENSAIS!E16)/DADOS_MENSAIS!F16,"")</f>
        <v/>
      </c>
      <c r="C16" s="33">
        <f>IFERROR(IF(B16&gt;=0.9901,1,IF(B16&gt;=0.9801,0.9,IF(B16&gt;=0.9701,0.8,IF(B16&gt;=0.9601,0.7,0)))),"")</f>
        <v/>
      </c>
      <c r="D16" s="33">
        <f>IFERROR(C16*0.4,"")</f>
        <v/>
      </c>
      <c r="E16" s="42">
        <f>IFERROR(DADOS_MENSAIS!H16/DADOS_MENSAIS!G16,"")</f>
        <v/>
      </c>
      <c r="F16" s="33">
        <f>IFERROR(IF(E16&gt;=0.9376,1,IF(E16&gt;=0.8751,0.9,IF(E16&gt;=0.8126,0.8,IF(E16&gt;=0.7501,0.7,0)))),"")</f>
        <v/>
      </c>
      <c r="G16" s="33">
        <f>IFERROR(F16*0.2,"")</f>
        <v/>
      </c>
      <c r="H16" s="42">
        <f>IFERROR(DADOS_MENSAIS!J16/DADOS_MENSAIS!I16,"")</f>
        <v/>
      </c>
      <c r="I16" s="33">
        <f>IFERROR(IF(H16&gt;=0.9376,1,IF(H16&gt;=0.8751,0.9,IF(H16&gt;=0.8126,0.8,IF(H16&gt;=0.7501,0.7,0)))),"")</f>
        <v/>
      </c>
      <c r="J16" s="33">
        <f>IFERROR(I16*0.2,"")</f>
        <v/>
      </c>
      <c r="K16" s="42">
        <f>IFERROR((1440*DADOS_MENSAIS!K16-DADOS_MENSAIS!L16)/(1440*DADOS_MENSAIS!K16),"")</f>
        <v/>
      </c>
      <c r="L16" s="33">
        <f>IFERROR(IF(K16&gt;=0.9901,1,IF(K16&gt;=0.9801,0.9,IF(K16&gt;=0.9701,0.8,IF(K16&gt;=0.9601,0.7,0)))),"")</f>
        <v/>
      </c>
      <c r="M16" s="33">
        <f>IFERROR(L16*0.1,"")</f>
        <v/>
      </c>
      <c r="N16" s="33">
        <f>IFERROR(IF((DADOS_MENSAIS!M16+DADOS_MENSAIS!N16)/100&gt;=0.9,1,IF((DADOS_MENSAIS!M16+DADOS_MENSAIS!N16)/100&gt;=0.7,0.9,0)),"")</f>
        <v/>
      </c>
      <c r="O16" s="43">
        <f>IFERROR(D16+G16+J16+M16+N16*0.1,"")</f>
        <v/>
      </c>
      <c r="P16" s="44">
        <f>IFERROR(DADOS_MENSAIS!B16*DADOS_MENSAIS!C16*O16,"")</f>
        <v/>
      </c>
    </row>
    <row r="17">
      <c r="A17" s="45">
        <f>DADOS_MENSAIS!A17</f>
        <v/>
      </c>
      <c r="B17" s="46">
        <f>IFERROR(1-(DADOS_MENSAIS!D17-DADOS_MENSAIS!E17)/DADOS_MENSAIS!F17,"")</f>
        <v/>
      </c>
      <c r="C17" s="47">
        <f>IFERROR(IF(B17&gt;=0.9901,1,IF(B17&gt;=0.9801,0.9,IF(B17&gt;=0.9701,0.8,IF(B17&gt;=0.9601,0.7,0)))),"")</f>
        <v/>
      </c>
      <c r="D17" s="47">
        <f>IFERROR(C17*0.4,"")</f>
        <v/>
      </c>
      <c r="E17" s="46">
        <f>IFERROR(DADOS_MENSAIS!H17/DADOS_MENSAIS!G17,"")</f>
        <v/>
      </c>
      <c r="F17" s="47">
        <f>IFERROR(IF(E17&gt;=0.9376,1,IF(E17&gt;=0.8751,0.9,IF(E17&gt;=0.8126,0.8,IF(E17&gt;=0.7501,0.7,0)))),"")</f>
        <v/>
      </c>
      <c r="G17" s="47">
        <f>IFERROR(F17*0.2,"")</f>
        <v/>
      </c>
      <c r="H17" s="46">
        <f>IFERROR(DADOS_MENSAIS!J17/DADOS_MENSAIS!I17,"")</f>
        <v/>
      </c>
      <c r="I17" s="47">
        <f>IFERROR(IF(H17&gt;=0.9376,1,IF(H17&gt;=0.8751,0.9,IF(H17&gt;=0.8126,0.8,IF(H17&gt;=0.7501,0.7,0)))),"")</f>
        <v/>
      </c>
      <c r="J17" s="47">
        <f>IFERROR(I17*0.2,"")</f>
        <v/>
      </c>
      <c r="K17" s="46">
        <f>IFERROR((1440*DADOS_MENSAIS!K17-DADOS_MENSAIS!L17)/(1440*DADOS_MENSAIS!K17),"")</f>
        <v/>
      </c>
      <c r="L17" s="47">
        <f>IFERROR(IF(K17&gt;=0.9901,1,IF(K17&gt;=0.9801,0.9,IF(K17&gt;=0.9701,0.8,IF(K17&gt;=0.9601,0.7,0)))),"")</f>
        <v/>
      </c>
      <c r="M17" s="47">
        <f>IFERROR(L17*0.1,"")</f>
        <v/>
      </c>
      <c r="N17" s="47">
        <f>IFERROR(IF((DADOS_MENSAIS!M17+DADOS_MENSAIS!N17)/100&gt;=0.9,1,IF((DADOS_MENSAIS!M17+DADOS_MENSAIS!N17)/100&gt;=0.7,0.9,0)),"")</f>
        <v/>
      </c>
      <c r="O17" s="48">
        <f>IFERROR(D17+G17+J17+M17+N17*0.1,"")</f>
        <v/>
      </c>
      <c r="P17" s="49">
        <f>IFERROR(DADOS_MENSAIS!B17*DADOS_MENSAIS!C17*O17,"")</f>
        <v/>
      </c>
    </row>
  </sheetData>
  <mergeCells count="5">
    <mergeCell ref="B3:D3"/>
    <mergeCell ref="A1:P1"/>
    <mergeCell ref="E3:G3"/>
    <mergeCell ref="K3:M3"/>
    <mergeCell ref="H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32" customHeight="1">
      <c r="A1" s="29" t="inlineStr">
        <is>
          <t>EVOLUÇÃO ANUAL 2026 — RESUMO PARA ANÁLISE GERENCIAL</t>
        </is>
      </c>
    </row>
    <row r="2" ht="22" customHeight="1">
      <c r="A2" s="31" t="inlineStr">
        <is>
          <t>Mês</t>
        </is>
      </c>
      <c r="B2" s="31" t="inlineStr">
        <is>
          <t>IE (FE)</t>
        </is>
      </c>
      <c r="C2" s="31" t="inlineStr">
        <is>
          <t>CME (R$)</t>
        </is>
      </c>
      <c r="D2" s="31" t="inlineStr">
        <is>
          <t>Score SLA1</t>
        </is>
      </c>
      <c r="E2" s="31" t="inlineStr">
        <is>
          <t>Score SLA2</t>
        </is>
      </c>
      <c r="F2" s="31" t="inlineStr">
        <is>
          <t>Score SLA3</t>
        </is>
      </c>
      <c r="G2" s="31" t="inlineStr">
        <is>
          <t>Score SLA4</t>
        </is>
      </c>
      <c r="H2" s="31" t="inlineStr">
        <is>
          <t>Score SLA5</t>
        </is>
      </c>
    </row>
    <row r="3">
      <c r="A3" s="41">
        <f>DADOS_MENSAIS!A6</f>
        <v/>
      </c>
      <c r="B3" s="43">
        <f>IFERROR(RESULTADOS!O6,"")</f>
        <v/>
      </c>
      <c r="C3" s="44">
        <f>IFERROR(RESULTADOS!P6,"")</f>
        <v/>
      </c>
      <c r="D3" s="50">
        <f>IFERROR(RESULTADOS!C6,"")</f>
        <v/>
      </c>
      <c r="E3" s="50">
        <f>IFERROR(RESULTADOS!F6,"")</f>
        <v/>
      </c>
      <c r="F3" s="50">
        <f>IFERROR(RESULTADOS!I6,"")</f>
        <v/>
      </c>
      <c r="G3" s="50">
        <f>IFERROR(RESULTADOS!L6,"")</f>
        <v/>
      </c>
      <c r="H3" s="50">
        <f>IFERROR(RESULTADOS!N6,"")</f>
        <v/>
      </c>
    </row>
    <row r="4">
      <c r="A4" s="45">
        <f>DADOS_MENSAIS!A7</f>
        <v/>
      </c>
      <c r="B4" s="48">
        <f>IFERROR(RESULTADOS!O7,"")</f>
        <v/>
      </c>
      <c r="C4" s="49">
        <f>IFERROR(RESULTADOS!P7,"")</f>
        <v/>
      </c>
      <c r="D4" s="51">
        <f>IFERROR(RESULTADOS!C7,"")</f>
        <v/>
      </c>
      <c r="E4" s="51">
        <f>IFERROR(RESULTADOS!F7,"")</f>
        <v/>
      </c>
      <c r="F4" s="51">
        <f>IFERROR(RESULTADOS!I7,"")</f>
        <v/>
      </c>
      <c r="G4" s="51">
        <f>IFERROR(RESULTADOS!L7,"")</f>
        <v/>
      </c>
      <c r="H4" s="51">
        <f>IFERROR(RESULTADOS!N7,"")</f>
        <v/>
      </c>
    </row>
    <row r="5">
      <c r="A5" s="41">
        <f>DADOS_MENSAIS!A8</f>
        <v/>
      </c>
      <c r="B5" s="43">
        <f>IFERROR(RESULTADOS!O8,"")</f>
        <v/>
      </c>
      <c r="C5" s="44">
        <f>IFERROR(RESULTADOS!P8,"")</f>
        <v/>
      </c>
      <c r="D5" s="50">
        <f>IFERROR(RESULTADOS!C8,"")</f>
        <v/>
      </c>
      <c r="E5" s="50">
        <f>IFERROR(RESULTADOS!F8,"")</f>
        <v/>
      </c>
      <c r="F5" s="50">
        <f>IFERROR(RESULTADOS!I8,"")</f>
        <v/>
      </c>
      <c r="G5" s="50">
        <f>IFERROR(RESULTADOS!L8,"")</f>
        <v/>
      </c>
      <c r="H5" s="50">
        <f>IFERROR(RESULTADOS!N8,"")</f>
        <v/>
      </c>
    </row>
    <row r="6">
      <c r="A6" s="45">
        <f>DADOS_MENSAIS!A9</f>
        <v/>
      </c>
      <c r="B6" s="48">
        <f>IFERROR(RESULTADOS!O9,"")</f>
        <v/>
      </c>
      <c r="C6" s="49">
        <f>IFERROR(RESULTADOS!P9,"")</f>
        <v/>
      </c>
      <c r="D6" s="51">
        <f>IFERROR(RESULTADOS!C9,"")</f>
        <v/>
      </c>
      <c r="E6" s="51">
        <f>IFERROR(RESULTADOS!F9,"")</f>
        <v/>
      </c>
      <c r="F6" s="51">
        <f>IFERROR(RESULTADOS!I9,"")</f>
        <v/>
      </c>
      <c r="G6" s="51">
        <f>IFERROR(RESULTADOS!L9,"")</f>
        <v/>
      </c>
      <c r="H6" s="51">
        <f>IFERROR(RESULTADOS!N9,"")</f>
        <v/>
      </c>
    </row>
    <row r="7">
      <c r="A7" s="41">
        <f>DADOS_MENSAIS!A10</f>
        <v/>
      </c>
      <c r="B7" s="43">
        <f>IFERROR(RESULTADOS!O10,"")</f>
        <v/>
      </c>
      <c r="C7" s="44">
        <f>IFERROR(RESULTADOS!P10,"")</f>
        <v/>
      </c>
      <c r="D7" s="50">
        <f>IFERROR(RESULTADOS!C10,"")</f>
        <v/>
      </c>
      <c r="E7" s="50">
        <f>IFERROR(RESULTADOS!F10,"")</f>
        <v/>
      </c>
      <c r="F7" s="50">
        <f>IFERROR(RESULTADOS!I10,"")</f>
        <v/>
      </c>
      <c r="G7" s="50">
        <f>IFERROR(RESULTADOS!L10,"")</f>
        <v/>
      </c>
      <c r="H7" s="50">
        <f>IFERROR(RESULTADOS!N10,"")</f>
        <v/>
      </c>
    </row>
    <row r="8">
      <c r="A8" s="45">
        <f>DADOS_MENSAIS!A11</f>
        <v/>
      </c>
      <c r="B8" s="48">
        <f>IFERROR(RESULTADOS!O11,"")</f>
        <v/>
      </c>
      <c r="C8" s="49">
        <f>IFERROR(RESULTADOS!P11,"")</f>
        <v/>
      </c>
      <c r="D8" s="51">
        <f>IFERROR(RESULTADOS!C11,"")</f>
        <v/>
      </c>
      <c r="E8" s="51">
        <f>IFERROR(RESULTADOS!F11,"")</f>
        <v/>
      </c>
      <c r="F8" s="51">
        <f>IFERROR(RESULTADOS!I11,"")</f>
        <v/>
      </c>
      <c r="G8" s="51">
        <f>IFERROR(RESULTADOS!L11,"")</f>
        <v/>
      </c>
      <c r="H8" s="51">
        <f>IFERROR(RESULTADOS!N11,"")</f>
        <v/>
      </c>
    </row>
    <row r="9">
      <c r="A9" s="41">
        <f>DADOS_MENSAIS!A12</f>
        <v/>
      </c>
      <c r="B9" s="43">
        <f>IFERROR(RESULTADOS!O12,"")</f>
        <v/>
      </c>
      <c r="C9" s="44">
        <f>IFERROR(RESULTADOS!P12,"")</f>
        <v/>
      </c>
      <c r="D9" s="50">
        <f>IFERROR(RESULTADOS!C12,"")</f>
        <v/>
      </c>
      <c r="E9" s="50">
        <f>IFERROR(RESULTADOS!F12,"")</f>
        <v/>
      </c>
      <c r="F9" s="50">
        <f>IFERROR(RESULTADOS!I12,"")</f>
        <v/>
      </c>
      <c r="G9" s="50">
        <f>IFERROR(RESULTADOS!L12,"")</f>
        <v/>
      </c>
      <c r="H9" s="50">
        <f>IFERROR(RESULTADOS!N12,"")</f>
        <v/>
      </c>
    </row>
    <row r="10">
      <c r="A10" s="45">
        <f>DADOS_MENSAIS!A13</f>
        <v/>
      </c>
      <c r="B10" s="48">
        <f>IFERROR(RESULTADOS!O13,"")</f>
        <v/>
      </c>
      <c r="C10" s="49">
        <f>IFERROR(RESULTADOS!P13,"")</f>
        <v/>
      </c>
      <c r="D10" s="51">
        <f>IFERROR(RESULTADOS!C13,"")</f>
        <v/>
      </c>
      <c r="E10" s="51">
        <f>IFERROR(RESULTADOS!F13,"")</f>
        <v/>
      </c>
      <c r="F10" s="51">
        <f>IFERROR(RESULTADOS!I13,"")</f>
        <v/>
      </c>
      <c r="G10" s="51">
        <f>IFERROR(RESULTADOS!L13,"")</f>
        <v/>
      </c>
      <c r="H10" s="51">
        <f>IFERROR(RESULTADOS!N13,"")</f>
        <v/>
      </c>
    </row>
    <row r="11">
      <c r="A11" s="41">
        <f>DADOS_MENSAIS!A14</f>
        <v/>
      </c>
      <c r="B11" s="43">
        <f>IFERROR(RESULTADOS!O14,"")</f>
        <v/>
      </c>
      <c r="C11" s="44">
        <f>IFERROR(RESULTADOS!P14,"")</f>
        <v/>
      </c>
      <c r="D11" s="50">
        <f>IFERROR(RESULTADOS!C14,"")</f>
        <v/>
      </c>
      <c r="E11" s="50">
        <f>IFERROR(RESULTADOS!F14,"")</f>
        <v/>
      </c>
      <c r="F11" s="50">
        <f>IFERROR(RESULTADOS!I14,"")</f>
        <v/>
      </c>
      <c r="G11" s="50">
        <f>IFERROR(RESULTADOS!L14,"")</f>
        <v/>
      </c>
      <c r="H11" s="50">
        <f>IFERROR(RESULTADOS!N14,"")</f>
        <v/>
      </c>
    </row>
    <row r="12">
      <c r="A12" s="45">
        <f>DADOS_MENSAIS!A15</f>
        <v/>
      </c>
      <c r="B12" s="48">
        <f>IFERROR(RESULTADOS!O15,"")</f>
        <v/>
      </c>
      <c r="C12" s="49">
        <f>IFERROR(RESULTADOS!P15,"")</f>
        <v/>
      </c>
      <c r="D12" s="51">
        <f>IFERROR(RESULTADOS!C15,"")</f>
        <v/>
      </c>
      <c r="E12" s="51">
        <f>IFERROR(RESULTADOS!F15,"")</f>
        <v/>
      </c>
      <c r="F12" s="51">
        <f>IFERROR(RESULTADOS!I15,"")</f>
        <v/>
      </c>
      <c r="G12" s="51">
        <f>IFERROR(RESULTADOS!L15,"")</f>
        <v/>
      </c>
      <c r="H12" s="51">
        <f>IFERROR(RESULTADOS!N15,"")</f>
        <v/>
      </c>
    </row>
    <row r="13">
      <c r="A13" s="41">
        <f>DADOS_MENSAIS!A16</f>
        <v/>
      </c>
      <c r="B13" s="43">
        <f>IFERROR(RESULTADOS!O16,"")</f>
        <v/>
      </c>
      <c r="C13" s="44">
        <f>IFERROR(RESULTADOS!P16,"")</f>
        <v/>
      </c>
      <c r="D13" s="50">
        <f>IFERROR(RESULTADOS!C16,"")</f>
        <v/>
      </c>
      <c r="E13" s="50">
        <f>IFERROR(RESULTADOS!F16,"")</f>
        <v/>
      </c>
      <c r="F13" s="50">
        <f>IFERROR(RESULTADOS!I16,"")</f>
        <v/>
      </c>
      <c r="G13" s="50">
        <f>IFERROR(RESULTADOS!L16,"")</f>
        <v/>
      </c>
      <c r="H13" s="50">
        <f>IFERROR(RESULTADOS!N16,"")</f>
        <v/>
      </c>
    </row>
    <row r="14">
      <c r="A14" s="45">
        <f>DADOS_MENSAIS!A17</f>
        <v/>
      </c>
      <c r="B14" s="48">
        <f>IFERROR(RESULTADOS!O17,"")</f>
        <v/>
      </c>
      <c r="C14" s="49">
        <f>IFERROR(RESULTADOS!P17,"")</f>
        <v/>
      </c>
      <c r="D14" s="51">
        <f>IFERROR(RESULTADOS!C17,"")</f>
        <v/>
      </c>
      <c r="E14" s="51">
        <f>IFERROR(RESULTADOS!F17,"")</f>
        <v/>
      </c>
      <c r="F14" s="51">
        <f>IFERROR(RESULTADOS!I17,"")</f>
        <v/>
      </c>
      <c r="G14" s="51">
        <f>IFERROR(RESULTADOS!L17,"")</f>
        <v/>
      </c>
      <c r="H14" s="51">
        <f>IFERROR(RESULTADOS!N17,"")</f>
        <v/>
      </c>
    </row>
    <row r="16">
      <c r="A16" s="52" t="inlineStr">
        <is>
          <t>MÉDIA 2026</t>
        </is>
      </c>
      <c r="B16" s="53">
        <f>IFERROR(AVERAGE(B3:B14),"")</f>
        <v/>
      </c>
      <c r="C16" s="54">
        <f>IFERROR(AVERAGE(C3:C14),"")</f>
        <v/>
      </c>
      <c r="D16" s="55">
        <f>IFERROR(AVERAGE(D3:D14),"")</f>
        <v/>
      </c>
      <c r="E16" s="55">
        <f>IFERROR(AVERAGE(E3:E14),"")</f>
        <v/>
      </c>
      <c r="F16" s="55">
        <f>IFERROR(AVERAGE(F3:F14),"")</f>
        <v/>
      </c>
      <c r="G16" s="55">
        <f>IFERROR(AVERAGE(G3:G14),"")</f>
        <v/>
      </c>
      <c r="H16" s="55">
        <f>IFERROR(AVERAGE(H3:H14),"")</f>
        <v/>
      </c>
    </row>
  </sheetData>
  <mergeCells count="2">
    <mergeCell ref="A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2026-05-14T17:40:31Z</dcterms:created>
  <dcterms:modified xmlns:dcterms="http://purl.org/dc/terms/" xmlns:xsi="http://www.w3.org/2001/XMLSchema-instance" xsi:type="dcterms:W3CDTF">2026-05-14T17:40:31Z</dcterms:modified>
</cp:coreProperties>
</file>