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pera\Downloads\"/>
    </mc:Choice>
  </mc:AlternateContent>
  <xr:revisionPtr revIDLastSave="0" documentId="13_ncr:1_{2640C4AA-6844-45E2-80A1-87C235F6B1A9}" xr6:coauthVersionLast="47" xr6:coauthVersionMax="47" xr10:uidLastSave="{00000000-0000-0000-0000-000000000000}"/>
  <bookViews>
    <workbookView xWindow="-28920" yWindow="-1485" windowWidth="29040" windowHeight="15720" xr2:uid="{00000000-000D-0000-FFFF-FFFF00000000}"/>
  </bookViews>
  <sheets>
    <sheet name="DADOS_MENSAIS" sheetId="1" r:id="rId1"/>
    <sheet name="TABELAS_SLA" sheetId="2" r:id="rId2"/>
    <sheet name="RESULTADOS" sheetId="3" r:id="rId3"/>
    <sheet name="EVOLUÇÃO_ANU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4" l="1"/>
  <c r="A13" i="4"/>
  <c r="A12" i="4"/>
  <c r="A11" i="4"/>
  <c r="A10" i="4"/>
  <c r="A9" i="4"/>
  <c r="A8" i="4"/>
  <c r="A7" i="4"/>
  <c r="A6" i="4"/>
  <c r="A5" i="4"/>
  <c r="A4" i="4"/>
  <c r="A3" i="4"/>
  <c r="N17" i="3"/>
  <c r="H14" i="4" s="1"/>
  <c r="K17" i="3"/>
  <c r="L17" i="3" s="1"/>
  <c r="H17" i="3"/>
  <c r="I17" i="3" s="1"/>
  <c r="E17" i="3"/>
  <c r="F17" i="3" s="1"/>
  <c r="B17" i="3"/>
  <c r="C17" i="3" s="1"/>
  <c r="A17" i="3"/>
  <c r="N16" i="3"/>
  <c r="H13" i="4" s="1"/>
  <c r="K16" i="3"/>
  <c r="L16" i="3" s="1"/>
  <c r="H16" i="3"/>
  <c r="I16" i="3" s="1"/>
  <c r="E16" i="3"/>
  <c r="F16" i="3" s="1"/>
  <c r="B16" i="3"/>
  <c r="C16" i="3" s="1"/>
  <c r="A16" i="3"/>
  <c r="N15" i="3"/>
  <c r="H12" i="4" s="1"/>
  <c r="K15" i="3"/>
  <c r="L15" i="3" s="1"/>
  <c r="H15" i="3"/>
  <c r="I15" i="3" s="1"/>
  <c r="E15" i="3"/>
  <c r="F15" i="3" s="1"/>
  <c r="B15" i="3"/>
  <c r="C15" i="3" s="1"/>
  <c r="A15" i="3"/>
  <c r="N14" i="3"/>
  <c r="H11" i="4" s="1"/>
  <c r="K14" i="3"/>
  <c r="L14" i="3" s="1"/>
  <c r="H14" i="3"/>
  <c r="I14" i="3" s="1"/>
  <c r="E14" i="3"/>
  <c r="F14" i="3" s="1"/>
  <c r="B14" i="3"/>
  <c r="C14" i="3" s="1"/>
  <c r="A14" i="3"/>
  <c r="N13" i="3"/>
  <c r="H10" i="4" s="1"/>
  <c r="K13" i="3"/>
  <c r="L13" i="3" s="1"/>
  <c r="H13" i="3"/>
  <c r="I13" i="3" s="1"/>
  <c r="E13" i="3"/>
  <c r="F13" i="3" s="1"/>
  <c r="B13" i="3"/>
  <c r="C13" i="3" s="1"/>
  <c r="A13" i="3"/>
  <c r="N12" i="3"/>
  <c r="H9" i="4" s="1"/>
  <c r="K12" i="3"/>
  <c r="L12" i="3" s="1"/>
  <c r="H12" i="3"/>
  <c r="I12" i="3" s="1"/>
  <c r="E12" i="3"/>
  <c r="F12" i="3" s="1"/>
  <c r="B12" i="3"/>
  <c r="C12" i="3" s="1"/>
  <c r="A12" i="3"/>
  <c r="N11" i="3"/>
  <c r="H8" i="4" s="1"/>
  <c r="K11" i="3"/>
  <c r="L11" i="3" s="1"/>
  <c r="H11" i="3"/>
  <c r="I11" i="3" s="1"/>
  <c r="E11" i="3"/>
  <c r="F11" i="3" s="1"/>
  <c r="B11" i="3"/>
  <c r="C11" i="3" s="1"/>
  <c r="A11" i="3"/>
  <c r="N10" i="3"/>
  <c r="H7" i="4" s="1"/>
  <c r="K10" i="3"/>
  <c r="L10" i="3" s="1"/>
  <c r="H10" i="3"/>
  <c r="I10" i="3" s="1"/>
  <c r="E10" i="3"/>
  <c r="F10" i="3" s="1"/>
  <c r="B10" i="3"/>
  <c r="C10" i="3" s="1"/>
  <c r="A10" i="3"/>
  <c r="N9" i="3"/>
  <c r="H6" i="4" s="1"/>
  <c r="K9" i="3"/>
  <c r="L9" i="3" s="1"/>
  <c r="H9" i="3"/>
  <c r="I9" i="3" s="1"/>
  <c r="E9" i="3"/>
  <c r="F9" i="3" s="1"/>
  <c r="B9" i="3"/>
  <c r="C9" i="3" s="1"/>
  <c r="A9" i="3"/>
  <c r="N8" i="3"/>
  <c r="H5" i="4" s="1"/>
  <c r="K8" i="3"/>
  <c r="L8" i="3" s="1"/>
  <c r="H8" i="3"/>
  <c r="I8" i="3" s="1"/>
  <c r="E8" i="3"/>
  <c r="F8" i="3" s="1"/>
  <c r="B8" i="3"/>
  <c r="C8" i="3" s="1"/>
  <c r="A8" i="3"/>
  <c r="N7" i="3"/>
  <c r="H4" i="4" s="1"/>
  <c r="K7" i="3"/>
  <c r="L7" i="3" s="1"/>
  <c r="H7" i="3"/>
  <c r="I7" i="3" s="1"/>
  <c r="E7" i="3"/>
  <c r="F7" i="3" s="1"/>
  <c r="B7" i="3"/>
  <c r="C7" i="3" s="1"/>
  <c r="A7" i="3"/>
  <c r="N6" i="3"/>
  <c r="H3" i="4" s="1"/>
  <c r="K6" i="3"/>
  <c r="L6" i="3" s="1"/>
  <c r="H6" i="3"/>
  <c r="I6" i="3" s="1"/>
  <c r="E6" i="3"/>
  <c r="F6" i="3" s="1"/>
  <c r="B6" i="3"/>
  <c r="C6" i="3" s="1"/>
  <c r="A6" i="3"/>
  <c r="H16" i="4" l="1"/>
  <c r="G17" i="3"/>
  <c r="E14" i="4"/>
  <c r="F14" i="4"/>
  <c r="J17" i="3"/>
  <c r="G16" i="3"/>
  <c r="E13" i="4"/>
  <c r="G14" i="4"/>
  <c r="M17" i="3"/>
  <c r="F13" i="4"/>
  <c r="J16" i="3"/>
  <c r="G15" i="3"/>
  <c r="E12" i="4"/>
  <c r="G13" i="4"/>
  <c r="M16" i="3"/>
  <c r="F12" i="4"/>
  <c r="J15" i="3"/>
  <c r="G3" i="4"/>
  <c r="M6" i="3"/>
  <c r="G9" i="3"/>
  <c r="E6" i="4"/>
  <c r="G7" i="4"/>
  <c r="M10" i="3"/>
  <c r="G13" i="3"/>
  <c r="E10" i="4"/>
  <c r="G11" i="4"/>
  <c r="M14" i="3"/>
  <c r="F6" i="4"/>
  <c r="J9" i="3"/>
  <c r="D9" i="4"/>
  <c r="D12" i="3"/>
  <c r="F10" i="4"/>
  <c r="J13" i="3"/>
  <c r="G8" i="3"/>
  <c r="E5" i="4"/>
  <c r="F9" i="4"/>
  <c r="J12" i="3"/>
  <c r="G7" i="3"/>
  <c r="E4" i="4"/>
  <c r="G14" i="3"/>
  <c r="E11" i="4"/>
  <c r="G12" i="4"/>
  <c r="M15" i="3"/>
  <c r="D5" i="4"/>
  <c r="D8" i="3"/>
  <c r="D13" i="4"/>
  <c r="D16" i="3"/>
  <c r="G6" i="4"/>
  <c r="M9" i="3"/>
  <c r="G12" i="3"/>
  <c r="E9" i="4"/>
  <c r="G10" i="4"/>
  <c r="M13" i="3"/>
  <c r="D4" i="4"/>
  <c r="D7" i="3"/>
  <c r="F5" i="4"/>
  <c r="J8" i="3"/>
  <c r="D8" i="4"/>
  <c r="D11" i="3"/>
  <c r="D12" i="4"/>
  <c r="D15" i="3"/>
  <c r="G5" i="4"/>
  <c r="M8" i="3"/>
  <c r="G11" i="3"/>
  <c r="E8" i="4"/>
  <c r="G9" i="4"/>
  <c r="M12" i="3"/>
  <c r="D3" i="4"/>
  <c r="D6" i="3"/>
  <c r="J7" i="3"/>
  <c r="F4" i="4"/>
  <c r="D7" i="4"/>
  <c r="D10" i="3"/>
  <c r="O10" i="3" s="1"/>
  <c r="F8" i="4"/>
  <c r="J11" i="3"/>
  <c r="D11" i="4"/>
  <c r="D14" i="3"/>
  <c r="G6" i="3"/>
  <c r="E3" i="4"/>
  <c r="G4" i="4"/>
  <c r="M7" i="3"/>
  <c r="G10" i="3"/>
  <c r="E7" i="4"/>
  <c r="G8" i="4"/>
  <c r="M11" i="3"/>
  <c r="J6" i="3"/>
  <c r="F3" i="4"/>
  <c r="D6" i="4"/>
  <c r="D9" i="3"/>
  <c r="F7" i="4"/>
  <c r="J10" i="3"/>
  <c r="D10" i="4"/>
  <c r="D13" i="3"/>
  <c r="F11" i="4"/>
  <c r="J14" i="3"/>
  <c r="D14" i="4"/>
  <c r="D17" i="3"/>
  <c r="O17" i="3" s="1"/>
  <c r="F16" i="4" l="1"/>
  <c r="E16" i="4"/>
  <c r="O7" i="3"/>
  <c r="O16" i="3"/>
  <c r="O12" i="3"/>
  <c r="O14" i="3"/>
  <c r="O6" i="3"/>
  <c r="O15" i="3"/>
  <c r="O8" i="3"/>
  <c r="B14" i="4"/>
  <c r="P17" i="3"/>
  <c r="C14" i="4" s="1"/>
  <c r="O9" i="3"/>
  <c r="O13" i="3"/>
  <c r="D16" i="4"/>
  <c r="B7" i="4"/>
  <c r="P10" i="3"/>
  <c r="C7" i="4" s="1"/>
  <c r="O11" i="3"/>
  <c r="G16" i="4"/>
  <c r="B9" i="4" l="1"/>
  <c r="P12" i="3"/>
  <c r="C9" i="4" s="1"/>
  <c r="B4" i="4"/>
  <c r="P7" i="3"/>
  <c r="C4" i="4" s="1"/>
  <c r="B12" i="4"/>
  <c r="P15" i="3"/>
  <c r="C12" i="4" s="1"/>
  <c r="B13" i="4"/>
  <c r="P16" i="3"/>
  <c r="C13" i="4" s="1"/>
  <c r="B3" i="4"/>
  <c r="P6" i="3"/>
  <c r="C3" i="4" s="1"/>
  <c r="B11" i="4"/>
  <c r="P14" i="3"/>
  <c r="C11" i="4" s="1"/>
  <c r="B10" i="4"/>
  <c r="P13" i="3"/>
  <c r="C10" i="4" s="1"/>
  <c r="B6" i="4"/>
  <c r="P9" i="3"/>
  <c r="C6" i="4" s="1"/>
  <c r="B8" i="4"/>
  <c r="P11" i="3"/>
  <c r="C8" i="4" s="1"/>
  <c r="B5" i="4"/>
  <c r="P8" i="3"/>
  <c r="C5" i="4" s="1"/>
  <c r="C16" i="4" l="1"/>
  <c r="B16" i="4"/>
</calcChain>
</file>

<file path=xl/sharedStrings.xml><?xml version="1.0" encoding="utf-8"?>
<sst xmlns="http://schemas.openxmlformats.org/spreadsheetml/2006/main" count="177" uniqueCount="129">
  <si>
    <t>DASHBOARD ILUMINAÇÃO PÚBLICA  ·  BASE DE DADOS MENSAL</t>
  </si>
  <si>
    <t>Campos em AZUL = entrada de dados obrigatória  ·  Campos em PRETO = calculados automaticamente  ·  Não altere cabeçalhos</t>
  </si>
  <si>
    <t>FINANCEIRO</t>
  </si>
  <si>
    <t>SLA 1  ·  Pontos de IP Acesos</t>
  </si>
  <si>
    <t>SLA 2  ·  Emergência</t>
  </si>
  <si>
    <t>SLA 3  ·  Não Emerg.</t>
  </si>
  <si>
    <t>SLA 4  ·  Sistema</t>
  </si>
  <si>
    <t>SLA 5  ·  Distribuição Satisfação (%)</t>
  </si>
  <si>
    <t>SLA 5  ·  Contagem</t>
  </si>
  <si>
    <t>CMM (R$)</t>
  </si>
  <si>
    <t>FM</t>
  </si>
  <si>
    <t>Nf</t>
  </si>
  <si>
    <t>Ni</t>
  </si>
  <si>
    <t>Pt</t>
  </si>
  <si>
    <t>NCEi</t>
  </si>
  <si>
    <t>NCEa</t>
  </si>
  <si>
    <t>NCNEi</t>
  </si>
  <si>
    <t>NCNEa</t>
  </si>
  <si>
    <t>Dm</t>
  </si>
  <si>
    <t>Ti (min)</t>
  </si>
  <si>
    <t>% Ótimo</t>
  </si>
  <si>
    <t>% Bom</t>
  </si>
  <si>
    <t>% Regular</t>
  </si>
  <si>
    <t>% Ruim</t>
  </si>
  <si>
    <t>Total Lig.</t>
  </si>
  <si>
    <t>Não Opinou</t>
  </si>
  <si>
    <t>Mês / Ano</t>
  </si>
  <si>
    <t>Contraprestação
Mensal Máxima</t>
  </si>
  <si>
    <t>Fator de
Modernização</t>
  </si>
  <si>
    <t>Nº Falhas
Geradas</t>
  </si>
  <si>
    <t>Nº Interv.
com Sucesso</t>
  </si>
  <si>
    <t>Nº Dispositivos
Telegerenciados</t>
  </si>
  <si>
    <t>Chamados Emerg.
Identificados</t>
  </si>
  <si>
    <t>Chamados Emerg.
Atendidos</t>
  </si>
  <si>
    <t>Chamados N.Em.
Identificados</t>
  </si>
  <si>
    <t>Chamados N.Em.
Atendidos</t>
  </si>
  <si>
    <t>Dias no
Mês (Dm)</t>
  </si>
  <si>
    <t>Tempo Inoper.
Sistema (min)</t>
  </si>
  <si>
    <t>Ótimo
(%)</t>
  </si>
  <si>
    <t>Bom
(%)</t>
  </si>
  <si>
    <t>Regular
(%)</t>
  </si>
  <si>
    <t>Ruim
(%)</t>
  </si>
  <si>
    <t>Total
Ligações</t>
  </si>
  <si>
    <t>Não
Opinou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</si>
  <si>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</si>
  <si>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</si>
  <si>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</si>
  <si>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</si>
  <si>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</si>
  <si>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</si>
  <si>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</si>
  <si>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</si>
  <si>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</si>
  <si>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</si>
  <si>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</si>
  <si>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</si>
  <si>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⚠  INSTRUÇÕES:  1) Preencha uma linha por mês na ordem correta  ·  2) Não altere os nomes das colunas nem insira linhas antes da linha 6  ·  3) Formato do mês: xxx/AA  (ex: jan/26, fev/26)  ·  4) Dias no Mês (Dm) já preenchidos automaticamente — confira se necessário</t>
  </si>
  <si>
    <t>TABELAS DE PONTUAÇÃO DOS SLAs — REFERÊNCIA DO CONTRATO</t>
  </si>
  <si>
    <t>SLA 1 — Percentual de Pontos IP Acesos (PPA = 1-(Nf-Ni)/Pt)  [Peso: 40%]</t>
  </si>
  <si>
    <t>Cumprimento Mínimo</t>
  </si>
  <si>
    <t>Cumprimento Máximo</t>
  </si>
  <si>
    <t>Valor do Indicador</t>
  </si>
  <si>
    <t>99,01%</t>
  </si>
  <si>
    <t>100%</t>
  </si>
  <si>
    <t>98,01%</t>
  </si>
  <si>
    <t>99,00%</t>
  </si>
  <si>
    <t>97,01%</t>
  </si>
  <si>
    <t>98,00%</t>
  </si>
  <si>
    <t>96,01%</t>
  </si>
  <si>
    <t>97,00%</t>
  </si>
  <si>
    <t>0,00%</t>
  </si>
  <si>
    <t>96,00%</t>
  </si>
  <si>
    <t>SLA 2 — Chamados de Emergência (PCE = NCEa/NCEi)  [Peso: 20%]</t>
  </si>
  <si>
    <t>93,76%</t>
  </si>
  <si>
    <t>87,51%</t>
  </si>
  <si>
    <t>93,75%</t>
  </si>
  <si>
    <t>81,26%</t>
  </si>
  <si>
    <t>87,50%</t>
  </si>
  <si>
    <t>75,01%</t>
  </si>
  <si>
    <t>81,25%</t>
  </si>
  <si>
    <t>75,00%</t>
  </si>
  <si>
    <t>SLA 3 — Chamados Não Emergenciais (PCNE = NCNEa/NCNEi)  [Peso: 20%]</t>
  </si>
  <si>
    <t>SLA 4 — Tempo de Operação do Sistema (TOS = (1440×Dm-Ti)/(1440×Dm))  [Peso: 10%]</t>
  </si>
  <si>
    <t>SLA 5 — Pesquisa de Satisfação (% Ótimo + % Bom)  [Peso: 10%]</t>
  </si>
  <si>
    <t>Classificação</t>
  </si>
  <si>
    <t>Faixa</t>
  </si>
  <si>
    <t>Ruim</t>
  </si>
  <si>
    <t>SLA &lt; 60%</t>
  </si>
  <si>
    <t>Regular</t>
  </si>
  <si>
    <t>60% ≤ SLA ≤ 70%</t>
  </si>
  <si>
    <t>Bom</t>
  </si>
  <si>
    <t>70% ≤ SLA ≤ 90%</t>
  </si>
  <si>
    <t>Ótimo</t>
  </si>
  <si>
    <t>SLA ≥ 90%</t>
  </si>
  <si>
    <t>FÓRMULA DO ÍNDICE DE EFICIÊNCIA:  IE = (SLA1 × 0,4) + (SLA2 × 0,2) + (SLA3 × 0,2) + (SLA4 × 0,1) + (SLA5 × 0,1)</t>
  </si>
  <si>
    <t>FÓRMULA DA CME:  CME = CMM × FM × IE</t>
  </si>
  <si>
    <t>RESULTADOS CALCULADOS — NÃO EDITAR MANUALMENTE  ·  Atualizado automaticamente via DADOS_MENSAIS</t>
  </si>
  <si>
    <t>SLA 1  ·  Pontos Acesos</t>
  </si>
  <si>
    <t>SLA 5</t>
  </si>
  <si>
    <t>IE</t>
  </si>
  <si>
    <t>CME</t>
  </si>
  <si>
    <t>PPA %</t>
  </si>
  <si>
    <t>Score</t>
  </si>
  <si>
    <t>Contrib.</t>
  </si>
  <si>
    <t>PCE %</t>
  </si>
  <si>
    <t>PCNE %</t>
  </si>
  <si>
    <t>TOS %</t>
  </si>
  <si>
    <t>IE (FE)</t>
  </si>
  <si>
    <t>CME (R$)</t>
  </si>
  <si>
    <t>Mês</t>
  </si>
  <si>
    <t>1-(Nf-Ni)/Pt</t>
  </si>
  <si>
    <t>Tabela SLA1/4</t>
  </si>
  <si>
    <t>Score×0,4</t>
  </si>
  <si>
    <t>NCEa/NCEi</t>
  </si>
  <si>
    <t>Tabela SLA2/3</t>
  </si>
  <si>
    <t>Score×0,2</t>
  </si>
  <si>
    <t>NCNEa/NCNEi</t>
  </si>
  <si>
    <t>(1440Dm-Ti)/(1440Dm)</t>
  </si>
  <si>
    <t>Score×0,1</t>
  </si>
  <si>
    <t>Tabela SLA5</t>
  </si>
  <si>
    <t>B+D+G+J+M+(N×0,1)</t>
  </si>
  <si>
    <t>CMM×FM×IE</t>
  </si>
  <si>
    <t>EVOLUÇÃO ANUAL 2026 — RESUMO PARA ANÁLISE GERENCIAL</t>
  </si>
  <si>
    <t>Score SLA1</t>
  </si>
  <si>
    <t>Score SLA2</t>
  </si>
  <si>
    <t>Score SLA3</t>
  </si>
  <si>
    <t>Score SLA4</t>
  </si>
  <si>
    <t>Score SLA5</t>
  </si>
  <si>
    <t>MÉDIA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</si>
</sst>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$\ #,##0.00"/>
    <numFmt numFmtId="165" formatCode="0.0"/>
    <numFmt numFmtId="166" formatCode="0.000"/>
  </numFmts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8"/>
      <color rgb="FF64748B"/>
      <name val="Arial"/>
    </font>
    <font>
      <b/>
      <sz val="9"/>
      <color rgb="FFFFFFFF"/>
      <name val="Arial"/>
    </font>
    <font>
      <b/>
      <sz val="8"/>
      <color rgb="FFFFFFFF"/>
      <name val="Arial"/>
    </font>
    <font>
      <b/>
      <sz val="8"/>
      <color rgb="FF0000FF"/>
      <name val="Arial"/>
    </font>
    <font>
      <b/>
      <sz val="9"/>
      <color rgb="FF1E3A5F"/>
      <name val="Arial"/>
    </font>
    <font>
      <sz val="9"/>
      <color rgb="FF0000FF"/>
      <name val="Arial"/>
    </font>
    <font>
      <i/>
      <sz val="8"/>
      <color rgb="FFF59E0B"/>
      <name val="Arial"/>
    </font>
    <font>
      <b/>
      <sz val="13"/>
      <color rgb="FFFFFFFF"/>
      <name val="Arial"/>
    </font>
    <font>
      <b/>
      <sz val="10"/>
      <color rgb="FFFFFFFF"/>
      <name val="Arial"/>
    </font>
    <font>
      <sz val="9"/>
      <color rgb="FFE2E8F0"/>
      <name val="Arial"/>
    </font>
    <font>
      <i/>
      <sz val="7"/>
      <color rgb="FF64748B"/>
      <name val="Arial"/>
    </font>
    <font>
      <b/>
      <sz val="9"/>
      <color rgb="FF9DB8D2"/>
      <name val="Arial"/>
    </font>
    <font>
      <b/>
      <sz val="9"/>
      <color rgb="FFF59E0B"/>
      <name val="Arial"/>
    </font>
  </fonts>
  <fills count="30">
    <fill>
      <patternFill patternType="none"/>
    </fill>
    <fill>
      <patternFill patternType="gray125"/>
    </fill>
    <fill>
      <patternFill patternType="solid">
        <fgColor rgb="FF0B0F1A"/>
      </patternFill>
    </fill>
    <fill>
      <patternFill patternType="solid">
        <fgColor rgb="FF121827"/>
      </patternFill>
    </fill>
    <fill>
      <patternFill patternType="solid">
        <fgColor rgb="FF1E3A5F"/>
      </patternFill>
    </fill>
    <fill>
      <patternFill patternType="solid">
        <fgColor rgb="FF7F1D1D"/>
      </patternFill>
    </fill>
    <fill>
      <patternFill patternType="solid">
        <fgColor rgb="FF14532D"/>
      </patternFill>
    </fill>
    <fill>
      <patternFill patternType="solid">
        <fgColor rgb="FF052E16"/>
      </patternFill>
    </fill>
    <fill>
      <patternFill patternType="solid">
        <fgColor rgb="FF713F12"/>
      </patternFill>
    </fill>
    <fill>
      <patternFill patternType="solid">
        <fgColor rgb="FF451A03"/>
      </patternFill>
    </fill>
    <fill>
      <patternFill patternType="solid">
        <fgColor rgb="FF1A2F52"/>
      </patternFill>
    </fill>
    <fill>
      <patternFill patternType="solid">
        <fgColor rgb="FF6B1111"/>
      </patternFill>
    </fill>
    <fill>
      <patternFill patternType="solid">
        <fgColor rgb="FF0F4229"/>
      </patternFill>
    </fill>
    <fill>
      <patternFill patternType="solid">
        <fgColor rgb="FF042318"/>
      </patternFill>
    </fill>
    <fill>
      <patternFill patternType="solid">
        <fgColor rgb="FF5B3209"/>
      </patternFill>
    </fill>
    <fill>
      <patternFill patternType="solid">
        <fgColor rgb="FF3A1502"/>
      </patternFill>
    </fill>
    <fill>
      <patternFill patternType="solid">
        <fgColor rgb="FF1A2535"/>
      </patternFill>
    </fill>
    <fill>
      <patternFill patternType="solid">
        <fgColor rgb="FFD1E3FF"/>
      </patternFill>
    </fill>
    <fill>
      <patternFill patternType="solid">
        <fgColor rgb="FFEFF6FF"/>
      </patternFill>
    </fill>
    <fill>
      <patternFill patternType="solid">
        <fgColor rgb="FFC7DBFF"/>
      </patternFill>
    </fill>
    <fill>
      <patternFill patternType="solid">
        <fgColor rgb="FFE8F0FE"/>
      </patternFill>
    </fill>
    <fill>
      <patternFill patternType="solid">
        <fgColor rgb="FF1A1A2E"/>
      </patternFill>
    </fill>
    <fill>
      <patternFill patternType="solid">
        <fgColor rgb="FFEF4444"/>
      </patternFill>
    </fill>
    <fill>
      <patternFill patternType="solid">
        <fgColor rgb="FF131B2A"/>
      </patternFill>
    </fill>
    <fill>
      <patternFill patternType="solid">
        <fgColor rgb="FF0F1726"/>
      </patternFill>
    </fill>
    <fill>
      <patternFill patternType="solid">
        <fgColor rgb="FF22C55E"/>
      </patternFill>
    </fill>
    <fill>
      <patternFill patternType="solid">
        <fgColor rgb="FF3B82F6"/>
      </patternFill>
    </fill>
    <fill>
      <patternFill patternType="solid">
        <fgColor rgb="FFF59E0B"/>
      </patternFill>
    </fill>
    <fill>
      <patternFill patternType="solid">
        <fgColor rgb="FF1A3520"/>
      </patternFill>
    </fill>
    <fill>
      <patternFill patternType="solid">
        <fgColor rgb="FF141C2B"/>
      </patternFill>
    </fill>
  </fills>
  <borders count="2">
    <border>
      <left/>
      <right/>
      <top/>
      <bottom/>
      <diagonal/>
    </border>
    <border>
      <left style="thin">
        <color rgb="FF1E2D45"/>
      </left>
      <right style="thin">
        <color rgb="FF1E2D45"/>
      </right>
      <top style="thin">
        <color rgb="FF1E2D45"/>
      </top>
      <bottom style="thin">
        <color rgb="FF1E2D45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/>
    </xf>
    <xf numFmtId="164" fontId="7" fillId="18" borderId="1" xfId="0" applyNumberFormat="1" applyFont="1" applyFill="1" applyBorder="1" applyAlignment="1">
      <alignment horizontal="center" vertical="center"/>
    </xf>
    <xf numFmtId="2" fontId="7" fillId="18" borderId="1" xfId="0" applyNumberFormat="1" applyFont="1" applyFill="1" applyBorder="1" applyAlignment="1">
      <alignment horizontal="center" vertical="center"/>
    </xf>
    <xf numFmtId="3" fontId="7" fillId="18" borderId="1" xfId="0" applyNumberFormat="1" applyFont="1" applyFill="1" applyBorder="1" applyAlignment="1">
      <alignment horizontal="center" vertical="center"/>
    </xf>
    <xf numFmtId="165" fontId="7" fillId="18" borderId="1" xfId="0" applyNumberFormat="1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164" fontId="7" fillId="20" borderId="1" xfId="0" applyNumberFormat="1" applyFont="1" applyFill="1" applyBorder="1" applyAlignment="1">
      <alignment horizontal="center" vertical="center"/>
    </xf>
    <xf numFmtId="2" fontId="7" fillId="20" borderId="1" xfId="0" applyNumberFormat="1" applyFont="1" applyFill="1" applyBorder="1" applyAlignment="1">
      <alignment horizontal="center" vertical="center"/>
    </xf>
    <xf numFmtId="3" fontId="7" fillId="20" borderId="1" xfId="0" applyNumberFormat="1" applyFont="1" applyFill="1" applyBorder="1" applyAlignment="1">
      <alignment horizontal="center" vertical="center"/>
    </xf>
    <xf numFmtId="165" fontId="7" fillId="20" borderId="1" xfId="0" applyNumberFormat="1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4" borderId="1" xfId="0" applyFont="1" applyFill="1" applyBorder="1" applyAlignment="1">
      <alignment horizontal="center" vertical="center"/>
    </xf>
    <xf numFmtId="0" fontId="3" fillId="28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 wrapText="1"/>
    </xf>
    <xf numFmtId="0" fontId="13" fillId="24" borderId="1" xfId="0" applyFont="1" applyFill="1" applyBorder="1" applyAlignment="1">
      <alignment horizontal="center" vertical="center"/>
    </xf>
    <xf numFmtId="10" fontId="11" fillId="24" borderId="1" xfId="0" applyNumberFormat="1" applyFont="1" applyFill="1" applyBorder="1" applyAlignment="1">
      <alignment horizontal="center" vertical="center"/>
    </xf>
    <xf numFmtId="166" fontId="11" fillId="24" borderId="1" xfId="0" applyNumberFormat="1" applyFont="1" applyFill="1" applyBorder="1" applyAlignment="1">
      <alignment horizontal="center" vertical="center"/>
    </xf>
    <xf numFmtId="164" fontId="11" fillId="24" borderId="1" xfId="0" applyNumberFormat="1" applyFont="1" applyFill="1" applyBorder="1" applyAlignment="1">
      <alignment horizontal="center" vertical="center"/>
    </xf>
    <xf numFmtId="0" fontId="13" fillId="29" borderId="1" xfId="0" applyFont="1" applyFill="1" applyBorder="1" applyAlignment="1">
      <alignment horizontal="center" vertical="center"/>
    </xf>
    <xf numFmtId="10" fontId="11" fillId="29" borderId="1" xfId="0" applyNumberFormat="1" applyFont="1" applyFill="1" applyBorder="1" applyAlignment="1">
      <alignment horizontal="center" vertical="center"/>
    </xf>
    <xf numFmtId="0" fontId="11" fillId="29" borderId="1" xfId="0" applyFont="1" applyFill="1" applyBorder="1" applyAlignment="1">
      <alignment horizontal="center" vertical="center"/>
    </xf>
    <xf numFmtId="166" fontId="11" fillId="29" borderId="1" xfId="0" applyNumberFormat="1" applyFont="1" applyFill="1" applyBorder="1" applyAlignment="1">
      <alignment horizontal="center" vertical="center"/>
    </xf>
    <xf numFmtId="164" fontId="11" fillId="29" borderId="1" xfId="0" applyNumberFormat="1" applyFont="1" applyFill="1" applyBorder="1" applyAlignment="1">
      <alignment horizontal="center" vertical="center"/>
    </xf>
    <xf numFmtId="2" fontId="11" fillId="24" borderId="1" xfId="0" applyNumberFormat="1" applyFont="1" applyFill="1" applyBorder="1" applyAlignment="1">
      <alignment horizontal="center" vertical="center"/>
    </xf>
    <xf numFmtId="2" fontId="11" fillId="29" borderId="1" xfId="0" applyNumberFormat="1" applyFont="1" applyFill="1" applyBorder="1" applyAlignment="1">
      <alignment horizontal="center" vertical="center"/>
    </xf>
    <xf numFmtId="166" fontId="14" fillId="21" borderId="1" xfId="0" applyNumberFormat="1" applyFont="1" applyFill="1" applyBorder="1" applyAlignment="1">
      <alignment horizontal="center"/>
    </xf>
    <xf numFmtId="164" fontId="14" fillId="21" borderId="1" xfId="0" applyNumberFormat="1" applyFont="1" applyFill="1" applyBorder="1" applyAlignment="1">
      <alignment horizontal="center"/>
    </xf>
    <xf numFmtId="2" fontId="14" fillId="21" borderId="1" xfId="0" applyNumberFormat="1" applyFont="1" applyFill="1" applyBorder="1" applyAlignment="1">
      <alignment horizontal="center"/>
    </xf>
    <xf numFmtId="0" fontId="8" fillId="21" borderId="0" xfId="0" applyFont="1" applyFill="1" applyAlignment="1">
      <alignment horizontal="left"/>
    </xf>
    <xf numFmtId="0" fontId="0" fillId="0" borderId="0" xfId="0"/>
    <xf numFmtId="0" fontId="3" fillId="9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0" fontId="10" fillId="26" borderId="0" xfId="0" applyFont="1" applyFill="1" applyAlignment="1">
      <alignment horizontal="center" vertical="center"/>
    </xf>
    <xf numFmtId="0" fontId="10" fillId="27" borderId="0" xfId="0" applyFont="1" applyFill="1" applyAlignment="1">
      <alignment horizontal="center" vertical="center"/>
    </xf>
    <xf numFmtId="0" fontId="14" fillId="21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E10" sqref="E10"/>
    </sheetView>
  </sheetViews>
  <sheetFormatPr defaultRowHeight="15" x14ac:dyDescent="0.25"/>
  <cols>
    <col min="1" max="2" width="16" customWidth="1"/>
    <col min="3" max="5" width="13" customWidth="1"/>
    <col min="6" max="6" width="15" customWidth="1"/>
    <col min="7" max="10" width="14" customWidth="1"/>
    <col min="11" max="11" width="12" customWidth="1"/>
    <col min="12" max="12" width="13" customWidth="1"/>
    <col min="13" max="17" width="11" customWidth="1"/>
    <col min="18" max="18" width="10" customWidth="1"/>
  </cols>
  <sheetData>
    <row r="1" spans="1:18" ht="38.1" customHeight="1" x14ac:dyDescent="0.25">
      <c r="A1" s="48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</row>
    <row r="2" spans="1:18" ht="15.95" customHeight="1" x14ac:dyDescent="0.25">
      <c r="A2" s="45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</row>
    <row r="3" spans="1:18" ht="24" customHeight="1" x14ac:dyDescent="0.25">
      <c r="A3" s="1"/>
      <c r="B3" s="46" t="s">
        <v>2</v>
      </c>
      <c r="C3" s="42"/>
      <c r="D3" s="47" t="s">
        <v>3</v>
      </c>
      <c r="E3" s="42"/>
      <c r="F3" s="42"/>
      <c r="G3" s="49" t="s">
        <v>4</v>
      </c>
      <c r="H3" s="42"/>
      <c r="I3" s="50" t="s">
        <v>5</v>
      </c>
      <c r="J3" s="42"/>
      <c r="K3" s="46" t="s">
        <v>6</v>
      </c>
      <c r="L3" s="42"/>
      <c r="M3" s="44" t="s">
        <v>7</v>
      </c>
      <c r="N3" s="42"/>
      <c r="O3" s="42"/>
      <c r="P3" s="42"/>
      <c r="Q3" s="43" t="s">
        <v>8</v>
      </c>
      <c r="R3" s="42"/>
    </row>
    <row r="4" spans="1:18" ht="24" customHeight="1" x14ac:dyDescent="0.25">
      <c r="A4" s="3"/>
      <c r="B4" s="4" t="s">
        <v>9</v>
      </c>
      <c r="C4" s="4" t="s">
        <v>10</v>
      </c>
      <c r="D4" s="5" t="s">
        <v>11</v>
      </c>
      <c r="E4" s="5" t="s">
        <v>12</v>
      </c>
      <c r="F4" s="5" t="s">
        <v>13</v>
      </c>
      <c r="G4" s="6" t="s">
        <v>14</v>
      </c>
      <c r="H4" s="6" t="s">
        <v>15</v>
      </c>
      <c r="I4" s="7" t="s">
        <v>16</v>
      </c>
      <c r="J4" s="7" t="s">
        <v>17</v>
      </c>
      <c r="K4" s="4" t="s">
        <v>18</v>
      </c>
      <c r="L4" s="4" t="s">
        <v>19</v>
      </c>
      <c r="M4" s="8" t="s">
        <v>20</v>
      </c>
      <c r="N4" s="8" t="s">
        <v>21</v>
      </c>
      <c r="O4" s="8" t="s">
        <v>22</v>
      </c>
      <c r="P4" s="8" t="s">
        <v>23</v>
      </c>
      <c r="Q4" s="9" t="s">
        <v>24</v>
      </c>
      <c r="R4" s="9" t="s">
        <v>25</v>
      </c>
    </row>
    <row r="5" spans="1:18" ht="32.1" customHeight="1" x14ac:dyDescent="0.25">
      <c r="A5" s="10" t="s">
        <v>26</v>
      </c>
      <c r="B5" s="10" t="s">
        <v>27</v>
      </c>
      <c r="C5" s="10" t="s">
        <v>28</v>
      </c>
      <c r="D5" s="10" t="s">
        <v>29</v>
      </c>
      <c r="E5" s="10" t="s">
        <v>30</v>
      </c>
      <c r="F5" s="10" t="s">
        <v>31</v>
      </c>
      <c r="G5" s="10" t="s">
        <v>32</v>
      </c>
      <c r="H5" s="10" t="s">
        <v>33</v>
      </c>
      <c r="I5" s="10" t="s">
        <v>34</v>
      </c>
      <c r="J5" s="10" t="s">
        <v>35</v>
      </c>
      <c r="K5" s="10" t="s">
        <v>36</v>
      </c>
      <c r="L5" s="10" t="s">
        <v>37</v>
      </c>
      <c r="M5" s="10" t="s">
        <v>38</v>
      </c>
      <c r="N5" s="10" t="s">
        <v>39</v>
      </c>
      <c r="O5" s="10" t="s">
        <v>40</v>
      </c>
      <c r="P5" s="10" t="s">
        <v>41</v>
      </c>
      <c r="Q5" s="10" t="s">
        <v>42</v>
      </c>
      <c r="R5" s="10" t="s">
        <v>43</v>
      </c>
    </row>
    <row r="6" spans="1:18" ht="21.95" customHeight="1" x14ac:dyDescent="0.25">
      <c r="A6" s="11" t="s">
        <v>44</v>
      </c>
      <c r="B6" s="12">
        <v>409644.81</v>
      </c>
      <c r="C6" s="13">
        <v>0.5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29</v>
      </c>
      <c r="J6" s="14">
        <v>29</v>
      </c>
      <c r="K6" s="14">
        <v>31</v>
      </c>
      <c r="L6" s="14">
        <v>0</v>
      </c>
      <c r="M6" s="15">
        <v>53</v>
      </c>
      <c r="N6" s="15">
        <v>30.8</v>
      </c>
      <c r="O6" s="15">
        <v>7.7</v>
      </c>
      <c r="P6" s="15">
        <v>7.7</v>
      </c>
      <c r="Q6" s="14">
        <v>26</v>
      </c>
      <c r="R6" s="14">
        <v>11</v>
      </c>
    </row>
    <row r="7" spans="1:18" ht="21.95" customHeight="1" x14ac:dyDescent="0.25">
      <c r="A7" s="16" t="s">
        <v>45</v>
      </c>
      <c r="B7" s="17">
        <v>409644.81</v>
      </c>
      <c r="C7" s="18">
        <v>0.5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18</v>
      </c>
      <c r="J7" s="19">
        <v>18</v>
      </c>
      <c r="K7" s="19">
        <v>28</v>
      </c>
      <c r="L7" s="19">
        <v>0</v>
      </c>
      <c r="M7" s="20">
        <v>52.9</v>
      </c>
      <c r="N7" s="20">
        <v>38.200000000000003</v>
      </c>
      <c r="O7" s="20">
        <v>8.8000000000000007</v>
      </c>
      <c r="P7" s="20">
        <v>0</v>
      </c>
      <c r="Q7" s="19">
        <v>35</v>
      </c>
      <c r="R7" s="19">
        <v>10</v>
      </c>
    </row>
    <row r="8" spans="1:18" ht="21.95" customHeight="1" x14ac:dyDescent="0.25">
      <c r="A8" s="11" t="s">
        <v>46</v>
      </c>
      <c r="B8" s="12">
        <v>409644.81</v>
      </c>
      <c r="C8" s="13">
        <v>0.5</v>
      </c>
      <c r="D8" s="14">
        <v>0</v>
      </c>
      <c r="E8" s="14">
        <v>0</v>
      </c>
      <c r="F8" s="14">
        <v>15494</v>
      </c>
      <c r="G8" s="14">
        <v>0</v>
      </c>
      <c r="H8" s="14">
        <v>0</v>
      </c>
      <c r="I8" s="14">
        <v>17</v>
      </c>
      <c r="J8" s="14">
        <v>17</v>
      </c>
      <c r="K8" s="14">
        <v>31</v>
      </c>
      <c r="L8" s="14">
        <v>0</v>
      </c>
      <c r="M8" s="15">
        <v>76.2</v>
      </c>
      <c r="N8" s="15">
        <v>14.3</v>
      </c>
      <c r="O8" s="15">
        <v>4.8</v>
      </c>
      <c r="P8" s="15">
        <v>4.8</v>
      </c>
      <c r="Q8" s="14">
        <v>22</v>
      </c>
      <c r="R8" s="14">
        <v>14</v>
      </c>
    </row>
    <row r="9" spans="1:18" ht="21.95" customHeight="1" x14ac:dyDescent="0.25">
      <c r="A9" s="16" t="s">
        <v>47</v>
      </c>
      <c r="B9" s="17">
        <v>427136.76</v>
      </c>
      <c r="C9" s="18">
        <v>0.5</v>
      </c>
      <c r="D9" s="19">
        <v>221</v>
      </c>
      <c r="E9" s="19">
        <v>221</v>
      </c>
      <c r="F9" s="19">
        <v>15879</v>
      </c>
      <c r="G9" s="19">
        <v>2</v>
      </c>
      <c r="H9" s="19">
        <v>2</v>
      </c>
      <c r="I9" s="19">
        <v>15</v>
      </c>
      <c r="J9" s="19">
        <v>15</v>
      </c>
      <c r="K9" s="19">
        <v>30</v>
      </c>
      <c r="L9" s="19">
        <v>0</v>
      </c>
      <c r="M9" s="20">
        <v>64</v>
      </c>
      <c r="N9" s="20">
        <v>36</v>
      </c>
      <c r="O9" s="20">
        <v>0</v>
      </c>
      <c r="P9" s="20">
        <v>0</v>
      </c>
      <c r="Q9" s="19">
        <v>26</v>
      </c>
      <c r="R9" s="19">
        <v>2</v>
      </c>
    </row>
    <row r="10" spans="1:18" ht="21.95" customHeight="1" x14ac:dyDescent="0.25">
      <c r="A10" s="11" t="s">
        <v>48</v>
      </c>
      <c r="B10" s="12"/>
      <c r="C10" s="13"/>
      <c r="D10" s="14"/>
      <c r="E10" s="14"/>
      <c r="F10" s="14"/>
      <c r="G10" s="14"/>
      <c r="H10" s="14"/>
      <c r="I10" s="14"/>
      <c r="J10" s="14"/>
      <c r="K10" s="14">
        <v>31</v>
      </c>
      <c r="L10" s="14"/>
      <c r="M10" s="15"/>
      <c r="N10" s="15"/>
      <c r="O10" s="15"/>
      <c r="P10" s="15"/>
      <c r="Q10" s="14"/>
      <c r="R10" s="14"/>
    </row>
    <row r="11" spans="1:18" ht="21.95" customHeight="1" x14ac:dyDescent="0.25">
      <c r="A11" s="16" t="s">
        <v>49</v>
      </c>
      <c r="B11" s="17"/>
      <c r="C11" s="18"/>
      <c r="D11" s="19"/>
      <c r="E11" s="19"/>
      <c r="F11" s="19"/>
      <c r="G11" s="19"/>
      <c r="H11" s="19"/>
      <c r="I11" s="19"/>
      <c r="J11" s="19"/>
      <c r="K11" s="19">
        <v>30</v>
      </c>
      <c r="L11" s="19"/>
      <c r="M11" s="20"/>
      <c r="N11" s="20"/>
      <c r="O11" s="20"/>
      <c r="P11" s="20"/>
      <c r="Q11" s="19"/>
      <c r="R11" s="19"/>
    </row>
    <row r="12" spans="1:18" ht="21.95" customHeight="1" x14ac:dyDescent="0.25">
      <c r="A12" s="11" t="s">
        <v>50</v>
      </c>
      <c r="B12" s="12"/>
      <c r="C12" s="13"/>
      <c r="D12" s="14"/>
      <c r="E12" s="14"/>
      <c r="F12" s="14"/>
      <c r="G12" s="14"/>
      <c r="H12" s="14"/>
      <c r="I12" s="14"/>
      <c r="J12" s="14"/>
      <c r="K12" s="14">
        <v>31</v>
      </c>
      <c r="L12" s="14"/>
      <c r="M12" s="15"/>
      <c r="N12" s="15"/>
      <c r="O12" s="15"/>
      <c r="P12" s="15"/>
      <c r="Q12" s="14"/>
      <c r="R12" s="14"/>
    </row>
    <row r="13" spans="1:18" ht="21.95" customHeight="1" x14ac:dyDescent="0.25">
      <c r="A13" s="16" t="s">
        <v>51</v>
      </c>
      <c r="B13" s="17"/>
      <c r="C13" s="18"/>
      <c r="D13" s="19"/>
      <c r="E13" s="19"/>
      <c r="F13" s="19"/>
      <c r="G13" s="19"/>
      <c r="H13" s="19"/>
      <c r="I13" s="19"/>
      <c r="J13" s="19"/>
      <c r="K13" s="19">
        <v>31</v>
      </c>
      <c r="L13" s="19"/>
      <c r="M13" s="20"/>
      <c r="N13" s="20"/>
      <c r="O13" s="20"/>
      <c r="P13" s="20"/>
      <c r="Q13" s="19"/>
      <c r="R13" s="19"/>
    </row>
    <row r="14" spans="1:18" ht="21.95" customHeight="1" x14ac:dyDescent="0.25">
      <c r="A14" s="11" t="s">
        <v>52</v>
      </c>
      <c r="B14" s="12"/>
      <c r="C14" s="13"/>
      <c r="D14" s="14"/>
      <c r="E14" s="14"/>
      <c r="F14" s="14"/>
      <c r="G14" s="14"/>
      <c r="H14" s="14"/>
      <c r="I14" s="14"/>
      <c r="J14" s="14"/>
      <c r="K14" s="14">
        <v>30</v>
      </c>
      <c r="L14" s="14"/>
      <c r="M14" s="15"/>
      <c r="N14" s="15"/>
      <c r="O14" s="15"/>
      <c r="P14" s="15"/>
      <c r="Q14" s="14"/>
      <c r="R14" s="14"/>
    </row>
    <row r="15" spans="1:18" ht="21.95" customHeight="1" x14ac:dyDescent="0.25">
      <c r="A15" s="16" t="s">
        <v>53</v>
      </c>
      <c r="B15" s="17"/>
      <c r="C15" s="18"/>
      <c r="D15" s="19"/>
      <c r="E15" s="19"/>
      <c r="F15" s="19"/>
      <c r="G15" s="19"/>
      <c r="H15" s="19"/>
      <c r="I15" s="19"/>
      <c r="J15" s="19"/>
      <c r="K15" s="19">
        <v>31</v>
      </c>
      <c r="L15" s="19"/>
      <c r="M15" s="20"/>
      <c r="N15" s="20"/>
      <c r="O15" s="20"/>
      <c r="P15" s="20"/>
      <c r="Q15" s="19"/>
      <c r="R15" s="19"/>
    </row>
    <row r="16" spans="1:18" ht="21.95" customHeight="1" x14ac:dyDescent="0.25">
      <c r="A16" s="11" t="s">
        <v>54</v>
      </c>
      <c r="B16" s="12"/>
      <c r="C16" s="13"/>
      <c r="D16" s="14"/>
      <c r="E16" s="14"/>
      <c r="F16" s="14"/>
      <c r="G16" s="14"/>
      <c r="H16" s="14"/>
      <c r="I16" s="14"/>
      <c r="J16" s="14"/>
      <c r="K16" s="14">
        <v>30</v>
      </c>
      <c r="L16" s="14"/>
      <c r="M16" s="15"/>
      <c r="N16" s="15"/>
      <c r="O16" s="15"/>
      <c r="P16" s="15"/>
      <c r="Q16" s="14"/>
      <c r="R16" s="14"/>
    </row>
    <row r="17" spans="1:18" ht="21.95" customHeight="1" x14ac:dyDescent="0.25">
      <c r="A17" s="16" t="s">
        <v>55</v>
      </c>
      <c r="B17" s="17"/>
      <c r="C17" s="18"/>
      <c r="D17" s="19"/>
      <c r="E17" s="19"/>
      <c r="F17" s="19"/>
      <c r="G17" s="19"/>
      <c r="H17" s="19"/>
      <c r="I17" s="19"/>
      <c r="J17" s="19"/>
      <c r="K17" s="19">
        <v>31</v>
      </c>
      <c r="L17" s="19"/>
      <c r="M17" s="20"/>
      <c r="N17" s="20"/>
      <c r="O17" s="20"/>
      <c r="P17" s="20"/>
      <c r="Q17" s="19"/>
      <c r="R17" s="19"/>
    </row>
    <row r="18" spans="1:18" ht="21.95" customHeight="1" x14ac:dyDescent="0.25"/>
    <row r="19" spans="1:18" ht="21.95" customHeight="1" x14ac:dyDescent="0.25"/>
    <row r="20" spans="1:18" ht="18" customHeight="1" x14ac:dyDescent="0.25">
      <c r="A20" s="41" t="s">
        <v>56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</row>
    <row r="21" spans="1:18" ht="21.95" customHeight="1" x14ac:dyDescent="0.25"/>
  </sheetData>
  <mergeCells count="10">
    <mergeCell ref="A1:R1"/>
    <mergeCell ref="G3:H3"/>
    <mergeCell ref="K3:L3"/>
    <mergeCell ref="I3:J3"/>
    <mergeCell ref="A20:R20"/>
    <mergeCell ref="Q3:R3"/>
    <mergeCell ref="M3:P3"/>
    <mergeCell ref="A2:R2"/>
    <mergeCell ref="B3:C3"/>
    <mergeCell ref="D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showGridLines="0" workbookViewId="0">
      <selection sqref="A1:C1"/>
    </sheetView>
  </sheetViews>
  <sheetFormatPr defaultRowHeight="15" x14ac:dyDescent="0.25"/>
  <cols>
    <col min="1" max="1" width="36" customWidth="1"/>
    <col min="2" max="2" width="24" customWidth="1"/>
    <col min="3" max="3" width="20" customWidth="1"/>
  </cols>
  <sheetData>
    <row r="1" spans="1:3" ht="32.1" customHeight="1" x14ac:dyDescent="0.25">
      <c r="A1" s="52" t="s">
        <v>57</v>
      </c>
      <c r="B1" s="42"/>
      <c r="C1" s="42"/>
    </row>
    <row r="3" spans="1:3" ht="21.95" customHeight="1" x14ac:dyDescent="0.25">
      <c r="A3" s="53" t="s">
        <v>58</v>
      </c>
      <c r="B3" s="42"/>
      <c r="C3" s="42"/>
    </row>
    <row r="4" spans="1:3" x14ac:dyDescent="0.25">
      <c r="A4" s="21" t="s">
        <v>59</v>
      </c>
      <c r="B4" s="21" t="s">
        <v>60</v>
      </c>
      <c r="C4" s="21" t="s">
        <v>61</v>
      </c>
    </row>
    <row r="5" spans="1:3" x14ac:dyDescent="0.25">
      <c r="A5" s="22" t="s">
        <v>62</v>
      </c>
      <c r="B5" s="22" t="s">
        <v>63</v>
      </c>
      <c r="C5" s="22">
        <v>1</v>
      </c>
    </row>
    <row r="6" spans="1:3" x14ac:dyDescent="0.25">
      <c r="A6" s="23" t="s">
        <v>64</v>
      </c>
      <c r="B6" s="23" t="s">
        <v>65</v>
      </c>
      <c r="C6" s="23">
        <v>0.9</v>
      </c>
    </row>
    <row r="7" spans="1:3" x14ac:dyDescent="0.25">
      <c r="A7" s="22" t="s">
        <v>66</v>
      </c>
      <c r="B7" s="22" t="s">
        <v>67</v>
      </c>
      <c r="C7" s="22">
        <v>0.8</v>
      </c>
    </row>
    <row r="8" spans="1:3" x14ac:dyDescent="0.25">
      <c r="A8" s="23" t="s">
        <v>68</v>
      </c>
      <c r="B8" s="23" t="s">
        <v>69</v>
      </c>
      <c r="C8" s="23">
        <v>0.7</v>
      </c>
    </row>
    <row r="9" spans="1:3" x14ac:dyDescent="0.25">
      <c r="A9" s="22" t="s">
        <v>70</v>
      </c>
      <c r="B9" s="22" t="s">
        <v>71</v>
      </c>
      <c r="C9" s="22">
        <v>0</v>
      </c>
    </row>
    <row r="12" spans="1:3" ht="21.95" customHeight="1" x14ac:dyDescent="0.25">
      <c r="A12" s="54" t="s">
        <v>72</v>
      </c>
      <c r="B12" s="42"/>
      <c r="C12" s="42"/>
    </row>
    <row r="13" spans="1:3" x14ac:dyDescent="0.25">
      <c r="A13" s="21" t="s">
        <v>59</v>
      </c>
      <c r="B13" s="21" t="s">
        <v>60</v>
      </c>
      <c r="C13" s="21" t="s">
        <v>61</v>
      </c>
    </row>
    <row r="14" spans="1:3" x14ac:dyDescent="0.25">
      <c r="A14" s="22" t="s">
        <v>73</v>
      </c>
      <c r="B14" s="22" t="s">
        <v>63</v>
      </c>
      <c r="C14" s="22">
        <v>1</v>
      </c>
    </row>
    <row r="15" spans="1:3" x14ac:dyDescent="0.25">
      <c r="A15" s="23" t="s">
        <v>74</v>
      </c>
      <c r="B15" s="23" t="s">
        <v>75</v>
      </c>
      <c r="C15" s="23">
        <v>0.9</v>
      </c>
    </row>
    <row r="16" spans="1:3" x14ac:dyDescent="0.25">
      <c r="A16" s="22" t="s">
        <v>76</v>
      </c>
      <c r="B16" s="22" t="s">
        <v>77</v>
      </c>
      <c r="C16" s="22">
        <v>0.8</v>
      </c>
    </row>
    <row r="17" spans="1:3" x14ac:dyDescent="0.25">
      <c r="A17" s="23" t="s">
        <v>78</v>
      </c>
      <c r="B17" s="23" t="s">
        <v>79</v>
      </c>
      <c r="C17" s="23">
        <v>0.7</v>
      </c>
    </row>
    <row r="18" spans="1:3" x14ac:dyDescent="0.25">
      <c r="A18" s="22" t="s">
        <v>70</v>
      </c>
      <c r="B18" s="22" t="s">
        <v>80</v>
      </c>
      <c r="C18" s="22">
        <v>0</v>
      </c>
    </row>
    <row r="21" spans="1:3" ht="21.95" customHeight="1" x14ac:dyDescent="0.25">
      <c r="A21" s="54" t="s">
        <v>81</v>
      </c>
      <c r="B21" s="42"/>
      <c r="C21" s="42"/>
    </row>
    <row r="22" spans="1:3" x14ac:dyDescent="0.25">
      <c r="A22" s="21" t="s">
        <v>59</v>
      </c>
      <c r="B22" s="21" t="s">
        <v>60</v>
      </c>
      <c r="C22" s="21" t="s">
        <v>61</v>
      </c>
    </row>
    <row r="23" spans="1:3" x14ac:dyDescent="0.25">
      <c r="A23" s="22" t="s">
        <v>73</v>
      </c>
      <c r="B23" s="22" t="s">
        <v>63</v>
      </c>
      <c r="C23" s="22">
        <v>1</v>
      </c>
    </row>
    <row r="24" spans="1:3" x14ac:dyDescent="0.25">
      <c r="A24" s="23" t="s">
        <v>74</v>
      </c>
      <c r="B24" s="23" t="s">
        <v>75</v>
      </c>
      <c r="C24" s="23">
        <v>0.9</v>
      </c>
    </row>
    <row r="25" spans="1:3" x14ac:dyDescent="0.25">
      <c r="A25" s="22" t="s">
        <v>76</v>
      </c>
      <c r="B25" s="22" t="s">
        <v>77</v>
      </c>
      <c r="C25" s="22">
        <v>0.8</v>
      </c>
    </row>
    <row r="26" spans="1:3" x14ac:dyDescent="0.25">
      <c r="A26" s="23" t="s">
        <v>78</v>
      </c>
      <c r="B26" s="23" t="s">
        <v>79</v>
      </c>
      <c r="C26" s="23">
        <v>0.7</v>
      </c>
    </row>
    <row r="27" spans="1:3" x14ac:dyDescent="0.25">
      <c r="A27" s="22" t="s">
        <v>70</v>
      </c>
      <c r="B27" s="22" t="s">
        <v>80</v>
      </c>
      <c r="C27" s="22">
        <v>0</v>
      </c>
    </row>
    <row r="30" spans="1:3" ht="21.95" customHeight="1" x14ac:dyDescent="0.25">
      <c r="A30" s="55" t="s">
        <v>82</v>
      </c>
      <c r="B30" s="42"/>
      <c r="C30" s="42"/>
    </row>
    <row r="31" spans="1:3" x14ac:dyDescent="0.25">
      <c r="A31" s="21" t="s">
        <v>59</v>
      </c>
      <c r="B31" s="21" t="s">
        <v>60</v>
      </c>
      <c r="C31" s="21" t="s">
        <v>61</v>
      </c>
    </row>
    <row r="32" spans="1:3" x14ac:dyDescent="0.25">
      <c r="A32" s="22" t="s">
        <v>62</v>
      </c>
      <c r="B32" s="22" t="s">
        <v>63</v>
      </c>
      <c r="C32" s="22">
        <v>1</v>
      </c>
    </row>
    <row r="33" spans="1:3" x14ac:dyDescent="0.25">
      <c r="A33" s="23" t="s">
        <v>64</v>
      </c>
      <c r="B33" s="23" t="s">
        <v>65</v>
      </c>
      <c r="C33" s="23">
        <v>0.9</v>
      </c>
    </row>
    <row r="34" spans="1:3" x14ac:dyDescent="0.25">
      <c r="A34" s="22" t="s">
        <v>66</v>
      </c>
      <c r="B34" s="22" t="s">
        <v>67</v>
      </c>
      <c r="C34" s="22">
        <v>0.8</v>
      </c>
    </row>
    <row r="35" spans="1:3" x14ac:dyDescent="0.25">
      <c r="A35" s="23" t="s">
        <v>68</v>
      </c>
      <c r="B35" s="23" t="s">
        <v>69</v>
      </c>
      <c r="C35" s="23">
        <v>0.7</v>
      </c>
    </row>
    <row r="36" spans="1:3" x14ac:dyDescent="0.25">
      <c r="A36" s="22" t="s">
        <v>70</v>
      </c>
      <c r="B36" s="22" t="s">
        <v>71</v>
      </c>
      <c r="C36" s="22">
        <v>0</v>
      </c>
    </row>
    <row r="39" spans="1:3" ht="21.95" customHeight="1" x14ac:dyDescent="0.25">
      <c r="A39" s="56" t="s">
        <v>83</v>
      </c>
      <c r="B39" s="42"/>
      <c r="C39" s="42"/>
    </row>
    <row r="40" spans="1:3" x14ac:dyDescent="0.25">
      <c r="A40" s="21" t="s">
        <v>84</v>
      </c>
      <c r="B40" s="21" t="s">
        <v>85</v>
      </c>
      <c r="C40" s="21" t="s">
        <v>61</v>
      </c>
    </row>
    <row r="41" spans="1:3" x14ac:dyDescent="0.25">
      <c r="A41" s="22" t="s">
        <v>86</v>
      </c>
      <c r="B41" s="22" t="s">
        <v>87</v>
      </c>
      <c r="C41" s="22">
        <v>0</v>
      </c>
    </row>
    <row r="42" spans="1:3" x14ac:dyDescent="0.25">
      <c r="A42" s="23" t="s">
        <v>88</v>
      </c>
      <c r="B42" s="23" t="s">
        <v>89</v>
      </c>
      <c r="C42" s="23">
        <v>0</v>
      </c>
    </row>
    <row r="43" spans="1:3" x14ac:dyDescent="0.25">
      <c r="A43" s="22" t="s">
        <v>90</v>
      </c>
      <c r="B43" s="22" t="s">
        <v>91</v>
      </c>
      <c r="C43" s="22">
        <v>0.9</v>
      </c>
    </row>
    <row r="44" spans="1:3" x14ac:dyDescent="0.25">
      <c r="A44" s="23" t="s">
        <v>92</v>
      </c>
      <c r="B44" s="23" t="s">
        <v>93</v>
      </c>
      <c r="C44" s="23">
        <v>1</v>
      </c>
    </row>
    <row r="47" spans="1:3" ht="21.95" customHeight="1" x14ac:dyDescent="0.25">
      <c r="A47" s="51" t="s">
        <v>94</v>
      </c>
      <c r="B47" s="42"/>
      <c r="C47" s="42"/>
    </row>
    <row r="48" spans="1:3" ht="21.95" customHeight="1" x14ac:dyDescent="0.25">
      <c r="A48" s="51" t="s">
        <v>95</v>
      </c>
      <c r="B48" s="42"/>
      <c r="C48" s="42"/>
    </row>
  </sheetData>
  <mergeCells count="8">
    <mergeCell ref="A48:C48"/>
    <mergeCell ref="A47:C47"/>
    <mergeCell ref="A1:C1"/>
    <mergeCell ref="A3:C3"/>
    <mergeCell ref="A21:C21"/>
    <mergeCell ref="A30:C30"/>
    <mergeCell ref="A39:C39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"/>
  <sheetViews>
    <sheetView showGridLines="0" workbookViewId="0">
      <pane xSplit="1" ySplit="5" topLeftCell="B6" activePane="bottomRight" state="frozen"/>
      <selection pane="topRight"/>
      <selection pane="bottomLeft"/>
      <selection pane="bottomRight" sqref="A1:P1"/>
    </sheetView>
  </sheetViews>
  <sheetFormatPr defaultRowHeight="15" x14ac:dyDescent="0.25"/>
  <cols>
    <col min="1" max="1" width="12" customWidth="1"/>
    <col min="2" max="2" width="11" customWidth="1"/>
    <col min="3" max="4" width="9" customWidth="1"/>
    <col min="5" max="5" width="11" customWidth="1"/>
    <col min="6" max="7" width="9" customWidth="1"/>
    <col min="8" max="8" width="11" customWidth="1"/>
    <col min="9" max="10" width="9" customWidth="1"/>
    <col min="11" max="11" width="13" customWidth="1"/>
    <col min="12" max="14" width="9" customWidth="1"/>
    <col min="15" max="15" width="10" customWidth="1"/>
    <col min="16" max="16" width="16" customWidth="1"/>
  </cols>
  <sheetData>
    <row r="1" spans="1:16" ht="32.1" customHeight="1" x14ac:dyDescent="0.25">
      <c r="A1" s="52" t="s">
        <v>96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3" spans="1:16" ht="21.95" customHeight="1" x14ac:dyDescent="0.25">
      <c r="A3" s="1"/>
      <c r="B3" s="47" t="s">
        <v>97</v>
      </c>
      <c r="C3" s="42"/>
      <c r="D3" s="42"/>
      <c r="E3" s="49" t="s">
        <v>4</v>
      </c>
      <c r="F3" s="42"/>
      <c r="G3" s="42"/>
      <c r="H3" s="50" t="s">
        <v>5</v>
      </c>
      <c r="I3" s="42"/>
      <c r="J3" s="42"/>
      <c r="K3" s="46" t="s">
        <v>6</v>
      </c>
      <c r="L3" s="42"/>
      <c r="M3" s="42"/>
      <c r="N3" s="2" t="s">
        <v>98</v>
      </c>
      <c r="O3" s="21" t="s">
        <v>99</v>
      </c>
      <c r="P3" s="24" t="s">
        <v>100</v>
      </c>
    </row>
    <row r="4" spans="1:16" ht="20.100000000000001" customHeight="1" x14ac:dyDescent="0.25">
      <c r="A4" s="25"/>
      <c r="B4" s="25" t="s">
        <v>101</v>
      </c>
      <c r="C4" s="25" t="s">
        <v>102</v>
      </c>
      <c r="D4" s="25" t="s">
        <v>103</v>
      </c>
      <c r="E4" s="25" t="s">
        <v>104</v>
      </c>
      <c r="F4" s="25" t="s">
        <v>102</v>
      </c>
      <c r="G4" s="25" t="s">
        <v>103</v>
      </c>
      <c r="H4" s="25" t="s">
        <v>105</v>
      </c>
      <c r="I4" s="25" t="s">
        <v>102</v>
      </c>
      <c r="J4" s="25" t="s">
        <v>103</v>
      </c>
      <c r="K4" s="25" t="s">
        <v>106</v>
      </c>
      <c r="L4" s="25" t="s">
        <v>102</v>
      </c>
      <c r="M4" s="25" t="s">
        <v>103</v>
      </c>
      <c r="N4" s="25" t="s">
        <v>102</v>
      </c>
      <c r="O4" s="25" t="s">
        <v>107</v>
      </c>
      <c r="P4" s="25" t="s">
        <v>108</v>
      </c>
    </row>
    <row r="5" spans="1:16" ht="24" customHeight="1" x14ac:dyDescent="0.25">
      <c r="A5" s="26" t="s">
        <v>109</v>
      </c>
      <c r="B5" s="26" t="s">
        <v>110</v>
      </c>
      <c r="C5" s="26" t="s">
        <v>111</v>
      </c>
      <c r="D5" s="26" t="s">
        <v>112</v>
      </c>
      <c r="E5" s="26" t="s">
        <v>113</v>
      </c>
      <c r="F5" s="26" t="s">
        <v>114</v>
      </c>
      <c r="G5" s="26" t="s">
        <v>115</v>
      </c>
      <c r="H5" s="26" t="s">
        <v>116</v>
      </c>
      <c r="I5" s="26" t="s">
        <v>114</v>
      </c>
      <c r="J5" s="26" t="s">
        <v>115</v>
      </c>
      <c r="K5" s="26" t="s">
        <v>117</v>
      </c>
      <c r="L5" s="26" t="s">
        <v>111</v>
      </c>
      <c r="M5" s="26" t="s">
        <v>118</v>
      </c>
      <c r="N5" s="26" t="s">
        <v>119</v>
      </c>
      <c r="O5" s="26" t="s">
        <v>120</v>
      </c>
      <c r="P5" s="26" t="s">
        <v>121</v>
      </c>
    </row>
    <row r="6" spans="1:16" x14ac:dyDescent="0.25">
      <c r="A6" s="27" t="str">
        <f>DADOS_MENSAIS!A6</f>
        <v>jan/26</v>
      </c>
      <c r="B6" s="28" t="str">
        <f>IFERROR(1-(DADOS_MENSAIS!D6-DADOS_MENSAIS!E6)/DADOS_MENSAIS!F6,"")</f>
        <v/>
      </c>
      <c r="C6" s="23">
        <f t="shared" ref="C6:C17" si="0">IFERROR(IF(B6&gt;=0.9901,1,IF(B6&gt;=0.9801,0.9,IF(B6&gt;=0.9701,0.8,IF(B6&gt;=0.9601,0.7,0)))),"")</f>
        <v>1</v>
      </c>
      <c r="D6" s="23">
        <f t="shared" ref="D6:D17" si="1">IFERROR(C6*0.4,"")</f>
        <v>0.4</v>
      </c>
      <c r="E6" s="28" t="str">
        <f>IFERROR(DADOS_MENSAIS!H6/DADOS_MENSAIS!G6,"")</f>
        <v/>
      </c>
      <c r="F6" s="23">
        <f t="shared" ref="F6:F17" si="2">IFERROR(IF(E6&gt;=0.9376,1,IF(E6&gt;=0.8751,0.9,IF(E6&gt;=0.8126,0.8,IF(E6&gt;=0.7501,0.7,0)))),"")</f>
        <v>1</v>
      </c>
      <c r="G6" s="23">
        <f t="shared" ref="G6:G17" si="3">IFERROR(F6*0.2,"")</f>
        <v>0.2</v>
      </c>
      <c r="H6" s="28">
        <f>IFERROR(DADOS_MENSAIS!J6/DADOS_MENSAIS!I6,"")</f>
        <v>1</v>
      </c>
      <c r="I6" s="23">
        <f t="shared" ref="I6:I17" si="4">IFERROR(IF(H6&gt;=0.9376,1,IF(H6&gt;=0.8751,0.9,IF(H6&gt;=0.8126,0.8,IF(H6&gt;=0.7501,0.7,0)))),"")</f>
        <v>1</v>
      </c>
      <c r="J6" s="23">
        <f t="shared" ref="J6:J17" si="5">IFERROR(I6*0.2,"")</f>
        <v>0.2</v>
      </c>
      <c r="K6" s="28">
        <f>IFERROR((1440*DADOS_MENSAIS!K6-DADOS_MENSAIS!L6)/(1440*DADOS_MENSAIS!K6),"")</f>
        <v>1</v>
      </c>
      <c r="L6" s="23">
        <f t="shared" ref="L6:L17" si="6">IFERROR(IF(K6&gt;=0.9901,1,IF(K6&gt;=0.9801,0.9,IF(K6&gt;=0.9701,0.8,IF(K6&gt;=0.9601,0.7,0)))),"")</f>
        <v>1</v>
      </c>
      <c r="M6" s="23">
        <f t="shared" ref="M6:M17" si="7">IFERROR(L6*0.1,"")</f>
        <v>0.1</v>
      </c>
      <c r="N6" s="23">
        <f>IFERROR(IF((DADOS_MENSAIS!M6+DADOS_MENSAIS!N6)/100&gt;=0.9,1,IF((DADOS_MENSAIS!M6+DADOS_MENSAIS!N6)/100&gt;=0.7,0.9,0)),"")</f>
        <v>0.9</v>
      </c>
      <c r="O6" s="29">
        <f t="shared" ref="O6:O17" si="8">IFERROR(D6+G6+J6+M6+N6*0.1,"")</f>
        <v>0.99</v>
      </c>
      <c r="P6" s="30">
        <f>IFERROR(DADOS_MENSAIS!B6*DADOS_MENSAIS!C6*O6,"")</f>
        <v>202774.18095000001</v>
      </c>
    </row>
    <row r="7" spans="1:16" x14ac:dyDescent="0.25">
      <c r="A7" s="31" t="str">
        <f>DADOS_MENSAIS!A7</f>
        <v>fev/26</v>
      </c>
      <c r="B7" s="32" t="str">
        <f>IFERROR(1-(DADOS_MENSAIS!D7-DADOS_MENSAIS!E7)/DADOS_MENSAIS!F7,"")</f>
        <v/>
      </c>
      <c r="C7" s="33">
        <f t="shared" si="0"/>
        <v>1</v>
      </c>
      <c r="D7" s="33">
        <f t="shared" si="1"/>
        <v>0.4</v>
      </c>
      <c r="E7" s="32" t="str">
        <f>IFERROR(DADOS_MENSAIS!H7/DADOS_MENSAIS!G7,"")</f>
        <v/>
      </c>
      <c r="F7" s="33">
        <f t="shared" si="2"/>
        <v>1</v>
      </c>
      <c r="G7" s="33">
        <f t="shared" si="3"/>
        <v>0.2</v>
      </c>
      <c r="H7" s="32">
        <f>IFERROR(DADOS_MENSAIS!J7/DADOS_MENSAIS!I7,"")</f>
        <v>1</v>
      </c>
      <c r="I7" s="33">
        <f t="shared" si="4"/>
        <v>1</v>
      </c>
      <c r="J7" s="33">
        <f t="shared" si="5"/>
        <v>0.2</v>
      </c>
      <c r="K7" s="32">
        <f>IFERROR((1440*DADOS_MENSAIS!K7-DADOS_MENSAIS!L7)/(1440*DADOS_MENSAIS!K7),"")</f>
        <v>1</v>
      </c>
      <c r="L7" s="33">
        <f t="shared" si="6"/>
        <v>1</v>
      </c>
      <c r="M7" s="33">
        <f t="shared" si="7"/>
        <v>0.1</v>
      </c>
      <c r="N7" s="33">
        <f>IFERROR(IF((DADOS_MENSAIS!M7+DADOS_MENSAIS!N7)/100&gt;=0.9,1,IF((DADOS_MENSAIS!M7+DADOS_MENSAIS!N7)/100&gt;=0.7,0.9,0)),"")</f>
        <v>1</v>
      </c>
      <c r="O7" s="34">
        <f t="shared" si="8"/>
        <v>1</v>
      </c>
      <c r="P7" s="35">
        <f>IFERROR(DADOS_MENSAIS!B7*DADOS_MENSAIS!C7*O7,"")</f>
        <v>204822.405</v>
      </c>
    </row>
    <row r="8" spans="1:16" x14ac:dyDescent="0.25">
      <c r="A8" s="27" t="str">
        <f>DADOS_MENSAIS!A8</f>
        <v>mar/26</v>
      </c>
      <c r="B8" s="28">
        <f>IFERROR(1-(DADOS_MENSAIS!D8-DADOS_MENSAIS!E8)/DADOS_MENSAIS!F8,"")</f>
        <v>1</v>
      </c>
      <c r="C8" s="23">
        <f t="shared" si="0"/>
        <v>1</v>
      </c>
      <c r="D8" s="23">
        <f t="shared" si="1"/>
        <v>0.4</v>
      </c>
      <c r="E8" s="28" t="str">
        <f>IFERROR(DADOS_MENSAIS!H8/DADOS_MENSAIS!G8,"")</f>
        <v/>
      </c>
      <c r="F8" s="23">
        <f t="shared" si="2"/>
        <v>1</v>
      </c>
      <c r="G8" s="23">
        <f t="shared" si="3"/>
        <v>0.2</v>
      </c>
      <c r="H8" s="28">
        <f>IFERROR(DADOS_MENSAIS!J8/DADOS_MENSAIS!I8,"")</f>
        <v>1</v>
      </c>
      <c r="I8" s="23">
        <f t="shared" si="4"/>
        <v>1</v>
      </c>
      <c r="J8" s="23">
        <f t="shared" si="5"/>
        <v>0.2</v>
      </c>
      <c r="K8" s="28">
        <f>IFERROR((1440*DADOS_MENSAIS!K8-DADOS_MENSAIS!L8)/(1440*DADOS_MENSAIS!K8),"")</f>
        <v>1</v>
      </c>
      <c r="L8" s="23">
        <f t="shared" si="6"/>
        <v>1</v>
      </c>
      <c r="M8" s="23">
        <f t="shared" si="7"/>
        <v>0.1</v>
      </c>
      <c r="N8" s="23">
        <f>IFERROR(IF((DADOS_MENSAIS!M8+DADOS_MENSAIS!N8)/100&gt;=0.9,1,IF((DADOS_MENSAIS!M8+DADOS_MENSAIS!N8)/100&gt;=0.7,0.9,0)),"")</f>
        <v>1</v>
      </c>
      <c r="O8" s="29">
        <f t="shared" si="8"/>
        <v>1</v>
      </c>
      <c r="P8" s="30">
        <f>IFERROR(DADOS_MENSAIS!B8*DADOS_MENSAIS!C8*O8,"")</f>
        <v>204822.405</v>
      </c>
    </row>
    <row r="9" spans="1:16" x14ac:dyDescent="0.25">
      <c r="A9" s="31" t="str">
        <f>DADOS_MENSAIS!A9</f>
        <v>abr/26</v>
      </c>
      <c r="B9" s="32">
        <f>IFERROR(1-(DADOS_MENSAIS!D9-DADOS_MENSAIS!E9)/DADOS_MENSAIS!F9,"")</f>
        <v>1</v>
      </c>
      <c r="C9" s="33">
        <f t="shared" si="0"/>
        <v>1</v>
      </c>
      <c r="D9" s="33">
        <f t="shared" si="1"/>
        <v>0.4</v>
      </c>
      <c r="E9" s="32">
        <f>IFERROR(DADOS_MENSAIS!H9/DADOS_MENSAIS!G9,"")</f>
        <v>1</v>
      </c>
      <c r="F9" s="33">
        <f t="shared" si="2"/>
        <v>1</v>
      </c>
      <c r="G9" s="33">
        <f t="shared" si="3"/>
        <v>0.2</v>
      </c>
      <c r="H9" s="32">
        <f>IFERROR(DADOS_MENSAIS!J9/DADOS_MENSAIS!I9,"")</f>
        <v>1</v>
      </c>
      <c r="I9" s="33">
        <f t="shared" si="4"/>
        <v>1</v>
      </c>
      <c r="J9" s="33">
        <f t="shared" si="5"/>
        <v>0.2</v>
      </c>
      <c r="K9" s="32">
        <f>IFERROR((1440*DADOS_MENSAIS!K9-DADOS_MENSAIS!L9)/(1440*DADOS_MENSAIS!K9),"")</f>
        <v>1</v>
      </c>
      <c r="L9" s="33">
        <f t="shared" si="6"/>
        <v>1</v>
      </c>
      <c r="M9" s="33">
        <f t="shared" si="7"/>
        <v>0.1</v>
      </c>
      <c r="N9" s="33">
        <f>IFERROR(IF((DADOS_MENSAIS!M9+DADOS_MENSAIS!N9)/100&gt;=0.9,1,IF((DADOS_MENSAIS!M9+DADOS_MENSAIS!N9)/100&gt;=0.7,0.9,0)),"")</f>
        <v>1</v>
      </c>
      <c r="O9" s="34">
        <f t="shared" si="8"/>
        <v>1</v>
      </c>
      <c r="P9" s="35">
        <f>IFERROR(DADOS_MENSAIS!B9*DADOS_MENSAIS!C9*O9,"")</f>
        <v>213568.38</v>
      </c>
    </row>
    <row r="10" spans="1:16" x14ac:dyDescent="0.25">
      <c r="A10" s="27" t="str">
        <f>DADOS_MENSAIS!A10</f>
        <v>mai/26</v>
      </c>
      <c r="B10" s="28" t="str">
        <f>IFERROR(1-(DADOS_MENSAIS!D10-DADOS_MENSAIS!E10)/DADOS_MENSAIS!F10,"")</f>
        <v/>
      </c>
      <c r="C10" s="23">
        <f t="shared" si="0"/>
        <v>1</v>
      </c>
      <c r="D10" s="23">
        <f t="shared" si="1"/>
        <v>0.4</v>
      </c>
      <c r="E10" s="28" t="str">
        <f>IFERROR(DADOS_MENSAIS!H10/DADOS_MENSAIS!G10,"")</f>
        <v/>
      </c>
      <c r="F10" s="23">
        <f t="shared" si="2"/>
        <v>1</v>
      </c>
      <c r="G10" s="23">
        <f t="shared" si="3"/>
        <v>0.2</v>
      </c>
      <c r="H10" s="28" t="str">
        <f>IFERROR(DADOS_MENSAIS!J10/DADOS_MENSAIS!I10,"")</f>
        <v/>
      </c>
      <c r="I10" s="23">
        <f t="shared" si="4"/>
        <v>1</v>
      </c>
      <c r="J10" s="23">
        <f t="shared" si="5"/>
        <v>0.2</v>
      </c>
      <c r="K10" s="28">
        <f>IFERROR((1440*DADOS_MENSAIS!K10-DADOS_MENSAIS!L10)/(1440*DADOS_MENSAIS!K10),"")</f>
        <v>1</v>
      </c>
      <c r="L10" s="23">
        <f t="shared" si="6"/>
        <v>1</v>
      </c>
      <c r="M10" s="23">
        <f t="shared" si="7"/>
        <v>0.1</v>
      </c>
      <c r="N10" s="23">
        <f>IFERROR(IF((DADOS_MENSAIS!M10+DADOS_MENSAIS!N10)/100&gt;=0.9,1,IF((DADOS_MENSAIS!M10+DADOS_MENSAIS!N10)/100&gt;=0.7,0.9,0)),"")</f>
        <v>0</v>
      </c>
      <c r="O10" s="29">
        <f t="shared" si="8"/>
        <v>0.9</v>
      </c>
      <c r="P10" s="30">
        <f>IFERROR(DADOS_MENSAIS!B10*DADOS_MENSAIS!C10*O10,"")</f>
        <v>0</v>
      </c>
    </row>
    <row r="11" spans="1:16" x14ac:dyDescent="0.25">
      <c r="A11" s="31" t="str">
        <f>DADOS_MENSAIS!A11</f>
        <v>jun/26</v>
      </c>
      <c r="B11" s="32" t="str">
        <f>IFERROR(1-(DADOS_MENSAIS!D11-DADOS_MENSAIS!E11)/DADOS_MENSAIS!F11,"")</f>
        <v/>
      </c>
      <c r="C11" s="33">
        <f t="shared" si="0"/>
        <v>1</v>
      </c>
      <c r="D11" s="33">
        <f t="shared" si="1"/>
        <v>0.4</v>
      </c>
      <c r="E11" s="32" t="str">
        <f>IFERROR(DADOS_MENSAIS!H11/DADOS_MENSAIS!G11,"")</f>
        <v/>
      </c>
      <c r="F11" s="33">
        <f t="shared" si="2"/>
        <v>1</v>
      </c>
      <c r="G11" s="33">
        <f t="shared" si="3"/>
        <v>0.2</v>
      </c>
      <c r="H11" s="32" t="str">
        <f>IFERROR(DADOS_MENSAIS!J11/DADOS_MENSAIS!I11,"")</f>
        <v/>
      </c>
      <c r="I11" s="33">
        <f t="shared" si="4"/>
        <v>1</v>
      </c>
      <c r="J11" s="33">
        <f t="shared" si="5"/>
        <v>0.2</v>
      </c>
      <c r="K11" s="32">
        <f>IFERROR((1440*DADOS_MENSAIS!K11-DADOS_MENSAIS!L11)/(1440*DADOS_MENSAIS!K11),"")</f>
        <v>1</v>
      </c>
      <c r="L11" s="33">
        <f t="shared" si="6"/>
        <v>1</v>
      </c>
      <c r="M11" s="33">
        <f t="shared" si="7"/>
        <v>0.1</v>
      </c>
      <c r="N11" s="33">
        <f>IFERROR(IF((DADOS_MENSAIS!M11+DADOS_MENSAIS!N11)/100&gt;=0.9,1,IF((DADOS_MENSAIS!M11+DADOS_MENSAIS!N11)/100&gt;=0.7,0.9,0)),"")</f>
        <v>0</v>
      </c>
      <c r="O11" s="34">
        <f t="shared" si="8"/>
        <v>0.9</v>
      </c>
      <c r="P11" s="35">
        <f>IFERROR(DADOS_MENSAIS!B11*DADOS_MENSAIS!C11*O11,"")</f>
        <v>0</v>
      </c>
    </row>
    <row r="12" spans="1:16" x14ac:dyDescent="0.25">
      <c r="A12" s="27" t="str">
        <f>DADOS_MENSAIS!A12</f>
        <v>jul/26</v>
      </c>
      <c r="B12" s="28" t="str">
        <f>IFERROR(1-(DADOS_MENSAIS!D12-DADOS_MENSAIS!E12)/DADOS_MENSAIS!F12,"")</f>
        <v/>
      </c>
      <c r="C12" s="23">
        <f t="shared" si="0"/>
        <v>1</v>
      </c>
      <c r="D12" s="23">
        <f t="shared" si="1"/>
        <v>0.4</v>
      </c>
      <c r="E12" s="28" t="str">
        <f>IFERROR(DADOS_MENSAIS!H12/DADOS_MENSAIS!G12,"")</f>
        <v/>
      </c>
      <c r="F12" s="23">
        <f t="shared" si="2"/>
        <v>1</v>
      </c>
      <c r="G12" s="23">
        <f t="shared" si="3"/>
        <v>0.2</v>
      </c>
      <c r="H12" s="28" t="str">
        <f>IFERROR(DADOS_MENSAIS!J12/DADOS_MENSAIS!I12,"")</f>
        <v/>
      </c>
      <c r="I12" s="23">
        <f t="shared" si="4"/>
        <v>1</v>
      </c>
      <c r="J12" s="23">
        <f t="shared" si="5"/>
        <v>0.2</v>
      </c>
      <c r="K12" s="28">
        <f>IFERROR((1440*DADOS_MENSAIS!K12-DADOS_MENSAIS!L12)/(1440*DADOS_MENSAIS!K12),"")</f>
        <v>1</v>
      </c>
      <c r="L12" s="23">
        <f t="shared" si="6"/>
        <v>1</v>
      </c>
      <c r="M12" s="23">
        <f t="shared" si="7"/>
        <v>0.1</v>
      </c>
      <c r="N12" s="23">
        <f>IFERROR(IF((DADOS_MENSAIS!M12+DADOS_MENSAIS!N12)/100&gt;=0.9,1,IF((DADOS_MENSAIS!M12+DADOS_MENSAIS!N12)/100&gt;=0.7,0.9,0)),"")</f>
        <v>0</v>
      </c>
      <c r="O12" s="29">
        <f t="shared" si="8"/>
        <v>0.9</v>
      </c>
      <c r="P12" s="30">
        <f>IFERROR(DADOS_MENSAIS!B12*DADOS_MENSAIS!C12*O12,"")</f>
        <v>0</v>
      </c>
    </row>
    <row r="13" spans="1:16" x14ac:dyDescent="0.25">
      <c r="A13" s="31" t="str">
        <f>DADOS_MENSAIS!A13</f>
        <v>ago/26</v>
      </c>
      <c r="B13" s="32" t="str">
        <f>IFERROR(1-(DADOS_MENSAIS!D13-DADOS_MENSAIS!E13)/DADOS_MENSAIS!F13,"")</f>
        <v/>
      </c>
      <c r="C13" s="33">
        <f t="shared" si="0"/>
        <v>1</v>
      </c>
      <c r="D13" s="33">
        <f t="shared" si="1"/>
        <v>0.4</v>
      </c>
      <c r="E13" s="32" t="str">
        <f>IFERROR(DADOS_MENSAIS!H13/DADOS_MENSAIS!G13,"")</f>
        <v/>
      </c>
      <c r="F13" s="33">
        <f t="shared" si="2"/>
        <v>1</v>
      </c>
      <c r="G13" s="33">
        <f t="shared" si="3"/>
        <v>0.2</v>
      </c>
      <c r="H13" s="32" t="str">
        <f>IFERROR(DADOS_MENSAIS!J13/DADOS_MENSAIS!I13,"")</f>
        <v/>
      </c>
      <c r="I13" s="33">
        <f t="shared" si="4"/>
        <v>1</v>
      </c>
      <c r="J13" s="33">
        <f t="shared" si="5"/>
        <v>0.2</v>
      </c>
      <c r="K13" s="32">
        <f>IFERROR((1440*DADOS_MENSAIS!K13-DADOS_MENSAIS!L13)/(1440*DADOS_MENSAIS!K13),"")</f>
        <v>1</v>
      </c>
      <c r="L13" s="33">
        <f t="shared" si="6"/>
        <v>1</v>
      </c>
      <c r="M13" s="33">
        <f t="shared" si="7"/>
        <v>0.1</v>
      </c>
      <c r="N13" s="33">
        <f>IFERROR(IF((DADOS_MENSAIS!M13+DADOS_MENSAIS!N13)/100&gt;=0.9,1,IF((DADOS_MENSAIS!M13+DADOS_MENSAIS!N13)/100&gt;=0.7,0.9,0)),"")</f>
        <v>0</v>
      </c>
      <c r="O13" s="34">
        <f t="shared" si="8"/>
        <v>0.9</v>
      </c>
      <c r="P13" s="35">
        <f>IFERROR(DADOS_MENSAIS!B13*DADOS_MENSAIS!C13*O13,"")</f>
        <v>0</v>
      </c>
    </row>
    <row r="14" spans="1:16" x14ac:dyDescent="0.25">
      <c r="A14" s="27" t="str">
        <f>DADOS_MENSAIS!A14</f>
        <v>set/26</v>
      </c>
      <c r="B14" s="28" t="str">
        <f>IFERROR(1-(DADOS_MENSAIS!D14-DADOS_MENSAIS!E14)/DADOS_MENSAIS!F14,"")</f>
        <v/>
      </c>
      <c r="C14" s="23">
        <f t="shared" si="0"/>
        <v>1</v>
      </c>
      <c r="D14" s="23">
        <f t="shared" si="1"/>
        <v>0.4</v>
      </c>
      <c r="E14" s="28" t="str">
        <f>IFERROR(DADOS_MENSAIS!H14/DADOS_MENSAIS!G14,"")</f>
        <v/>
      </c>
      <c r="F14" s="23">
        <f t="shared" si="2"/>
        <v>1</v>
      </c>
      <c r="G14" s="23">
        <f t="shared" si="3"/>
        <v>0.2</v>
      </c>
      <c r="H14" s="28" t="str">
        <f>IFERROR(DADOS_MENSAIS!J14/DADOS_MENSAIS!I14,"")</f>
        <v/>
      </c>
      <c r="I14" s="23">
        <f t="shared" si="4"/>
        <v>1</v>
      </c>
      <c r="J14" s="23">
        <f t="shared" si="5"/>
        <v>0.2</v>
      </c>
      <c r="K14" s="28">
        <f>IFERROR((1440*DADOS_MENSAIS!K14-DADOS_MENSAIS!L14)/(1440*DADOS_MENSAIS!K14),"")</f>
        <v>1</v>
      </c>
      <c r="L14" s="23">
        <f t="shared" si="6"/>
        <v>1</v>
      </c>
      <c r="M14" s="23">
        <f t="shared" si="7"/>
        <v>0.1</v>
      </c>
      <c r="N14" s="23">
        <f>IFERROR(IF((DADOS_MENSAIS!M14+DADOS_MENSAIS!N14)/100&gt;=0.9,1,IF((DADOS_MENSAIS!M14+DADOS_MENSAIS!N14)/100&gt;=0.7,0.9,0)),"")</f>
        <v>0</v>
      </c>
      <c r="O14" s="29">
        <f t="shared" si="8"/>
        <v>0.9</v>
      </c>
      <c r="P14" s="30">
        <f>IFERROR(DADOS_MENSAIS!B14*DADOS_MENSAIS!C14*O14,"")</f>
        <v>0</v>
      </c>
    </row>
    <row r="15" spans="1:16" x14ac:dyDescent="0.25">
      <c r="A15" s="31" t="str">
        <f>DADOS_MENSAIS!A15</f>
        <v>out/26</v>
      </c>
      <c r="B15" s="32" t="str">
        <f>IFERROR(1-(DADOS_MENSAIS!D15-DADOS_MENSAIS!E15)/DADOS_MENSAIS!F15,"")</f>
        <v/>
      </c>
      <c r="C15" s="33">
        <f t="shared" si="0"/>
        <v>1</v>
      </c>
      <c r="D15" s="33">
        <f t="shared" si="1"/>
        <v>0.4</v>
      </c>
      <c r="E15" s="32" t="str">
        <f>IFERROR(DADOS_MENSAIS!H15/DADOS_MENSAIS!G15,"")</f>
        <v/>
      </c>
      <c r="F15" s="33">
        <f t="shared" si="2"/>
        <v>1</v>
      </c>
      <c r="G15" s="33">
        <f t="shared" si="3"/>
        <v>0.2</v>
      </c>
      <c r="H15" s="32" t="str">
        <f>IFERROR(DADOS_MENSAIS!J15/DADOS_MENSAIS!I15,"")</f>
        <v/>
      </c>
      <c r="I15" s="33">
        <f t="shared" si="4"/>
        <v>1</v>
      </c>
      <c r="J15" s="33">
        <f t="shared" si="5"/>
        <v>0.2</v>
      </c>
      <c r="K15" s="32">
        <f>IFERROR((1440*DADOS_MENSAIS!K15-DADOS_MENSAIS!L15)/(1440*DADOS_MENSAIS!K15),"")</f>
        <v>1</v>
      </c>
      <c r="L15" s="33">
        <f t="shared" si="6"/>
        <v>1</v>
      </c>
      <c r="M15" s="33">
        <f t="shared" si="7"/>
        <v>0.1</v>
      </c>
      <c r="N15" s="33">
        <f>IFERROR(IF((DADOS_MENSAIS!M15+DADOS_MENSAIS!N15)/100&gt;=0.9,1,IF((DADOS_MENSAIS!M15+DADOS_MENSAIS!N15)/100&gt;=0.7,0.9,0)),"")</f>
        <v>0</v>
      </c>
      <c r="O15" s="34">
        <f t="shared" si="8"/>
        <v>0.9</v>
      </c>
      <c r="P15" s="35">
        <f>IFERROR(DADOS_MENSAIS!B15*DADOS_MENSAIS!C15*O15,"")</f>
        <v>0</v>
      </c>
    </row>
    <row r="16" spans="1:16" x14ac:dyDescent="0.25">
      <c r="A16" s="27" t="str">
        <f>DADOS_MENSAIS!A16</f>
        <v>nov/26</v>
      </c>
      <c r="B16" s="28" t="str">
        <f>IFERROR(1-(DADOS_MENSAIS!D16-DADOS_MENSAIS!E16)/DADOS_MENSAIS!F16,"")</f>
        <v/>
      </c>
      <c r="C16" s="23">
        <f t="shared" si="0"/>
        <v>1</v>
      </c>
      <c r="D16" s="23">
        <f t="shared" si="1"/>
        <v>0.4</v>
      </c>
      <c r="E16" s="28" t="str">
        <f>IFERROR(DADOS_MENSAIS!H16/DADOS_MENSAIS!G16,"")</f>
        <v/>
      </c>
      <c r="F16" s="23">
        <f t="shared" si="2"/>
        <v>1</v>
      </c>
      <c r="G16" s="23">
        <f t="shared" si="3"/>
        <v>0.2</v>
      </c>
      <c r="H16" s="28" t="str">
        <f>IFERROR(DADOS_MENSAIS!J16/DADOS_MENSAIS!I16,"")</f>
        <v/>
      </c>
      <c r="I16" s="23">
        <f t="shared" si="4"/>
        <v>1</v>
      </c>
      <c r="J16" s="23">
        <f t="shared" si="5"/>
        <v>0.2</v>
      </c>
      <c r="K16" s="28">
        <f>IFERROR((1440*DADOS_MENSAIS!K16-DADOS_MENSAIS!L16)/(1440*DADOS_MENSAIS!K16),"")</f>
        <v>1</v>
      </c>
      <c r="L16" s="23">
        <f t="shared" si="6"/>
        <v>1</v>
      </c>
      <c r="M16" s="23">
        <f t="shared" si="7"/>
        <v>0.1</v>
      </c>
      <c r="N16" s="23">
        <f>IFERROR(IF((DADOS_MENSAIS!M16+DADOS_MENSAIS!N16)/100&gt;=0.9,1,IF((DADOS_MENSAIS!M16+DADOS_MENSAIS!N16)/100&gt;=0.7,0.9,0)),"")</f>
        <v>0</v>
      </c>
      <c r="O16" s="29">
        <f t="shared" si="8"/>
        <v>0.9</v>
      </c>
      <c r="P16" s="30">
        <f>IFERROR(DADOS_MENSAIS!B16*DADOS_MENSAIS!C16*O16,"")</f>
        <v>0</v>
      </c>
    </row>
    <row r="17" spans="1:16" x14ac:dyDescent="0.25">
      <c r="A17" s="31" t="str">
        <f>DADOS_MENSAIS!A17</f>
        <v>dez/26</v>
      </c>
      <c r="B17" s="32" t="str">
        <f>IFERROR(1-(DADOS_MENSAIS!D17-DADOS_MENSAIS!E17)/DADOS_MENSAIS!F17,"")</f>
        <v/>
      </c>
      <c r="C17" s="33">
        <f t="shared" si="0"/>
        <v>1</v>
      </c>
      <c r="D17" s="33">
        <f t="shared" si="1"/>
        <v>0.4</v>
      </c>
      <c r="E17" s="32" t="str">
        <f>IFERROR(DADOS_MENSAIS!H17/DADOS_MENSAIS!G17,"")</f>
        <v/>
      </c>
      <c r="F17" s="33">
        <f t="shared" si="2"/>
        <v>1</v>
      </c>
      <c r="G17" s="33">
        <f t="shared" si="3"/>
        <v>0.2</v>
      </c>
      <c r="H17" s="32" t="str">
        <f>IFERROR(DADOS_MENSAIS!J17/DADOS_MENSAIS!I17,"")</f>
        <v/>
      </c>
      <c r="I17" s="33">
        <f t="shared" si="4"/>
        <v>1</v>
      </c>
      <c r="J17" s="33">
        <f t="shared" si="5"/>
        <v>0.2</v>
      </c>
      <c r="K17" s="32">
        <f>IFERROR((1440*DADOS_MENSAIS!K17-DADOS_MENSAIS!L17)/(1440*DADOS_MENSAIS!K17),"")</f>
        <v>1</v>
      </c>
      <c r="L17" s="33">
        <f t="shared" si="6"/>
        <v>1</v>
      </c>
      <c r="M17" s="33">
        <f t="shared" si="7"/>
        <v>0.1</v>
      </c>
      <c r="N17" s="33">
        <f>IFERROR(IF((DADOS_MENSAIS!M17+DADOS_MENSAIS!N17)/100&gt;=0.9,1,IF((DADOS_MENSAIS!M17+DADOS_MENSAIS!N17)/100&gt;=0.7,0.9,0)),"")</f>
        <v>0</v>
      </c>
      <c r="O17" s="34">
        <f t="shared" si="8"/>
        <v>0.9</v>
      </c>
      <c r="P17" s="35">
        <f>IFERROR(DADOS_MENSAIS!B17*DADOS_MENSAIS!C17*O17,"")</f>
        <v>0</v>
      </c>
    </row>
  </sheetData>
  <mergeCells count="5">
    <mergeCell ref="B3:D3"/>
    <mergeCell ref="A1:P1"/>
    <mergeCell ref="E3:G3"/>
    <mergeCell ref="K3:M3"/>
    <mergeCell ref="H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showGridLines="0" workbookViewId="0">
      <selection sqref="A1:H1"/>
    </sheetView>
  </sheetViews>
  <sheetFormatPr defaultRowHeight="15" x14ac:dyDescent="0.25"/>
  <cols>
    <col min="1" max="1" width="14" customWidth="1"/>
    <col min="2" max="2" width="11" customWidth="1"/>
    <col min="3" max="3" width="16" customWidth="1"/>
    <col min="4" max="8" width="11" customWidth="1"/>
  </cols>
  <sheetData>
    <row r="1" spans="1:8" ht="32.1" customHeight="1" x14ac:dyDescent="0.25">
      <c r="A1" s="52" t="s">
        <v>122</v>
      </c>
      <c r="B1" s="42"/>
      <c r="C1" s="42"/>
      <c r="D1" s="42"/>
      <c r="E1" s="42"/>
      <c r="F1" s="42"/>
      <c r="G1" s="42"/>
      <c r="H1" s="42"/>
    </row>
    <row r="2" spans="1:8" ht="21.95" customHeight="1" x14ac:dyDescent="0.25">
      <c r="A2" s="21" t="s">
        <v>109</v>
      </c>
      <c r="B2" s="21" t="s">
        <v>107</v>
      </c>
      <c r="C2" s="21" t="s">
        <v>108</v>
      </c>
      <c r="D2" s="21" t="s">
        <v>123</v>
      </c>
      <c r="E2" s="21" t="s">
        <v>124</v>
      </c>
      <c r="F2" s="21" t="s">
        <v>125</v>
      </c>
      <c r="G2" s="21" t="s">
        <v>126</v>
      </c>
      <c r="H2" s="21" t="s">
        <v>127</v>
      </c>
    </row>
    <row r="3" spans="1:8" x14ac:dyDescent="0.25">
      <c r="A3" s="27" t="str">
        <f>DADOS_MENSAIS!A6</f>
        <v>jan/26</v>
      </c>
      <c r="B3" s="29">
        <f>IFERROR(RESULTADOS!O6,"")</f>
        <v>0.99</v>
      </c>
      <c r="C3" s="30">
        <f>IFERROR(RESULTADOS!P6,"")</f>
        <v>202774.18095000001</v>
      </c>
      <c r="D3" s="36">
        <f>IFERROR(RESULTADOS!C6,"")</f>
        <v>1</v>
      </c>
      <c r="E3" s="36">
        <f>IFERROR(RESULTADOS!F6,"")</f>
        <v>1</v>
      </c>
      <c r="F3" s="36">
        <f>IFERROR(RESULTADOS!I6,"")</f>
        <v>1</v>
      </c>
      <c r="G3" s="36">
        <f>IFERROR(RESULTADOS!L6,"")</f>
        <v>1</v>
      </c>
      <c r="H3" s="36">
        <f>IFERROR(RESULTADOS!N6,"")</f>
        <v>0.9</v>
      </c>
    </row>
    <row r="4" spans="1:8" x14ac:dyDescent="0.25">
      <c r="A4" s="31" t="str">
        <f>DADOS_MENSAIS!A7</f>
        <v>fev/26</v>
      </c>
      <c r="B4" s="34">
        <f>IFERROR(RESULTADOS!O7,"")</f>
        <v>1</v>
      </c>
      <c r="C4" s="35">
        <f>IFERROR(RESULTADOS!P7,"")</f>
        <v>204822.405</v>
      </c>
      <c r="D4" s="37">
        <f>IFERROR(RESULTADOS!C7,"")</f>
        <v>1</v>
      </c>
      <c r="E4" s="37">
        <f>IFERROR(RESULTADOS!F7,"")</f>
        <v>1</v>
      </c>
      <c r="F4" s="37">
        <f>IFERROR(RESULTADOS!I7,"")</f>
        <v>1</v>
      </c>
      <c r="G4" s="37">
        <f>IFERROR(RESULTADOS!L7,"")</f>
        <v>1</v>
      </c>
      <c r="H4" s="37">
        <f>IFERROR(RESULTADOS!N7,"")</f>
        <v>1</v>
      </c>
    </row>
    <row r="5" spans="1:8" x14ac:dyDescent="0.25">
      <c r="A5" s="27" t="str">
        <f>DADOS_MENSAIS!A8</f>
        <v>mar/26</v>
      </c>
      <c r="B5" s="29">
        <f>IFERROR(RESULTADOS!O8,"")</f>
        <v>1</v>
      </c>
      <c r="C5" s="30">
        <f>IFERROR(RESULTADOS!P8,"")</f>
        <v>204822.405</v>
      </c>
      <c r="D5" s="36">
        <f>IFERROR(RESULTADOS!C8,"")</f>
        <v>1</v>
      </c>
      <c r="E5" s="36">
        <f>IFERROR(RESULTADOS!F8,"")</f>
        <v>1</v>
      </c>
      <c r="F5" s="36">
        <f>IFERROR(RESULTADOS!I8,"")</f>
        <v>1</v>
      </c>
      <c r="G5" s="36">
        <f>IFERROR(RESULTADOS!L8,"")</f>
        <v>1</v>
      </c>
      <c r="H5" s="36">
        <f>IFERROR(RESULTADOS!N8,"")</f>
        <v>1</v>
      </c>
    </row>
    <row r="6" spans="1:8" x14ac:dyDescent="0.25">
      <c r="A6" s="31" t="str">
        <f>DADOS_MENSAIS!A9</f>
        <v>abr/26</v>
      </c>
      <c r="B6" s="34">
        <f>IFERROR(RESULTADOS!O9,"")</f>
        <v>1</v>
      </c>
      <c r="C6" s="35">
        <f>IFERROR(RESULTADOS!P9,"")</f>
        <v>213568.38</v>
      </c>
      <c r="D6" s="37">
        <f>IFERROR(RESULTADOS!C9,"")</f>
        <v>1</v>
      </c>
      <c r="E6" s="37">
        <f>IFERROR(RESULTADOS!F9,"")</f>
        <v>1</v>
      </c>
      <c r="F6" s="37">
        <f>IFERROR(RESULTADOS!I9,"")</f>
        <v>1</v>
      </c>
      <c r="G6" s="37">
        <f>IFERROR(RESULTADOS!L9,"")</f>
        <v>1</v>
      </c>
      <c r="H6" s="37">
        <f>IFERROR(RESULTADOS!N9,"")</f>
        <v>1</v>
      </c>
    </row>
    <row r="7" spans="1:8" x14ac:dyDescent="0.25">
      <c r="A7" s="27" t="str">
        <f>DADOS_MENSAIS!A10</f>
        <v>mai/26</v>
      </c>
      <c r="B7" s="29">
        <f>IFERROR(RESULTADOS!O10,"")</f>
        <v>0.9</v>
      </c>
      <c r="C7" s="30">
        <f>IFERROR(RESULTADOS!P10,"")</f>
        <v>0</v>
      </c>
      <c r="D7" s="36">
        <f>IFERROR(RESULTADOS!C10,"")</f>
        <v>1</v>
      </c>
      <c r="E7" s="36">
        <f>IFERROR(RESULTADOS!F10,"")</f>
        <v>1</v>
      </c>
      <c r="F7" s="36">
        <f>IFERROR(RESULTADOS!I10,"")</f>
        <v>1</v>
      </c>
      <c r="G7" s="36">
        <f>IFERROR(RESULTADOS!L10,"")</f>
        <v>1</v>
      </c>
      <c r="H7" s="36">
        <f>IFERROR(RESULTADOS!N10,"")</f>
        <v>0</v>
      </c>
    </row>
    <row r="8" spans="1:8" x14ac:dyDescent="0.25">
      <c r="A8" s="31" t="str">
        <f>DADOS_MENSAIS!A11</f>
        <v>jun/26</v>
      </c>
      <c r="B8" s="34">
        <f>IFERROR(RESULTADOS!O11,"")</f>
        <v>0.9</v>
      </c>
      <c r="C8" s="35">
        <f>IFERROR(RESULTADOS!P11,"")</f>
        <v>0</v>
      </c>
      <c r="D8" s="37">
        <f>IFERROR(RESULTADOS!C11,"")</f>
        <v>1</v>
      </c>
      <c r="E8" s="37">
        <f>IFERROR(RESULTADOS!F11,"")</f>
        <v>1</v>
      </c>
      <c r="F8" s="37">
        <f>IFERROR(RESULTADOS!I11,"")</f>
        <v>1</v>
      </c>
      <c r="G8" s="37">
        <f>IFERROR(RESULTADOS!L11,"")</f>
        <v>1</v>
      </c>
      <c r="H8" s="37">
        <f>IFERROR(RESULTADOS!N11,"")</f>
        <v>0</v>
      </c>
    </row>
    <row r="9" spans="1:8" x14ac:dyDescent="0.25">
      <c r="A9" s="27" t="str">
        <f>DADOS_MENSAIS!A12</f>
        <v>jul/26</v>
      </c>
      <c r="B9" s="29">
        <f>IFERROR(RESULTADOS!O12,"")</f>
        <v>0.9</v>
      </c>
      <c r="C9" s="30">
        <f>IFERROR(RESULTADOS!P12,"")</f>
        <v>0</v>
      </c>
      <c r="D9" s="36">
        <f>IFERROR(RESULTADOS!C12,"")</f>
        <v>1</v>
      </c>
      <c r="E9" s="36">
        <f>IFERROR(RESULTADOS!F12,"")</f>
        <v>1</v>
      </c>
      <c r="F9" s="36">
        <f>IFERROR(RESULTADOS!I12,"")</f>
        <v>1</v>
      </c>
      <c r="G9" s="36">
        <f>IFERROR(RESULTADOS!L12,"")</f>
        <v>1</v>
      </c>
      <c r="H9" s="36">
        <f>IFERROR(RESULTADOS!N12,"")</f>
        <v>0</v>
      </c>
    </row>
    <row r="10" spans="1:8" x14ac:dyDescent="0.25">
      <c r="A10" s="31" t="str">
        <f>DADOS_MENSAIS!A13</f>
        <v>ago/26</v>
      </c>
      <c r="B10" s="34">
        <f>IFERROR(RESULTADOS!O13,"")</f>
        <v>0.9</v>
      </c>
      <c r="C10" s="35">
        <f>IFERROR(RESULTADOS!P13,"")</f>
        <v>0</v>
      </c>
      <c r="D10" s="37">
        <f>IFERROR(RESULTADOS!C13,"")</f>
        <v>1</v>
      </c>
      <c r="E10" s="37">
        <f>IFERROR(RESULTADOS!F13,"")</f>
        <v>1</v>
      </c>
      <c r="F10" s="37">
        <f>IFERROR(RESULTADOS!I13,"")</f>
        <v>1</v>
      </c>
      <c r="G10" s="37">
        <f>IFERROR(RESULTADOS!L13,"")</f>
        <v>1</v>
      </c>
      <c r="H10" s="37">
        <f>IFERROR(RESULTADOS!N13,"")</f>
        <v>0</v>
      </c>
    </row>
    <row r="11" spans="1:8" x14ac:dyDescent="0.25">
      <c r="A11" s="27" t="str">
        <f>DADOS_MENSAIS!A14</f>
        <v>set/26</v>
      </c>
      <c r="B11" s="29">
        <f>IFERROR(RESULTADOS!O14,"")</f>
        <v>0.9</v>
      </c>
      <c r="C11" s="30">
        <f>IFERROR(RESULTADOS!P14,"")</f>
        <v>0</v>
      </c>
      <c r="D11" s="36">
        <f>IFERROR(RESULTADOS!C14,"")</f>
        <v>1</v>
      </c>
      <c r="E11" s="36">
        <f>IFERROR(RESULTADOS!F14,"")</f>
        <v>1</v>
      </c>
      <c r="F11" s="36">
        <f>IFERROR(RESULTADOS!I14,"")</f>
        <v>1</v>
      </c>
      <c r="G11" s="36">
        <f>IFERROR(RESULTADOS!L14,"")</f>
        <v>1</v>
      </c>
      <c r="H11" s="36">
        <f>IFERROR(RESULTADOS!N14,"")</f>
        <v>0</v>
      </c>
    </row>
    <row r="12" spans="1:8" x14ac:dyDescent="0.25">
      <c r="A12" s="31" t="str">
        <f>DADOS_MENSAIS!A15</f>
        <v>out/26</v>
      </c>
      <c r="B12" s="34">
        <f>IFERROR(RESULTADOS!O15,"")</f>
        <v>0.9</v>
      </c>
      <c r="C12" s="35">
        <f>IFERROR(RESULTADOS!P15,"")</f>
        <v>0</v>
      </c>
      <c r="D12" s="37">
        <f>IFERROR(RESULTADOS!C15,"")</f>
        <v>1</v>
      </c>
      <c r="E12" s="37">
        <f>IFERROR(RESULTADOS!F15,"")</f>
        <v>1</v>
      </c>
      <c r="F12" s="37">
        <f>IFERROR(RESULTADOS!I15,"")</f>
        <v>1</v>
      </c>
      <c r="G12" s="37">
        <f>IFERROR(RESULTADOS!L15,"")</f>
        <v>1</v>
      </c>
      <c r="H12" s="37">
        <f>IFERROR(RESULTADOS!N15,"")</f>
        <v>0</v>
      </c>
    </row>
    <row r="13" spans="1:8" x14ac:dyDescent="0.25">
      <c r="A13" s="27" t="str">
        <f>DADOS_MENSAIS!A16</f>
        <v>nov/26</v>
      </c>
      <c r="B13" s="29">
        <f>IFERROR(RESULTADOS!O16,"")</f>
        <v>0.9</v>
      </c>
      <c r="C13" s="30">
        <f>IFERROR(RESULTADOS!P16,"")</f>
        <v>0</v>
      </c>
      <c r="D13" s="36">
        <f>IFERROR(RESULTADOS!C16,"")</f>
        <v>1</v>
      </c>
      <c r="E13" s="36">
        <f>IFERROR(RESULTADOS!F16,"")</f>
        <v>1</v>
      </c>
      <c r="F13" s="36">
        <f>IFERROR(RESULTADOS!I16,"")</f>
        <v>1</v>
      </c>
      <c r="G13" s="36">
        <f>IFERROR(RESULTADOS!L16,"")</f>
        <v>1</v>
      </c>
      <c r="H13" s="36">
        <f>IFERROR(RESULTADOS!N16,"")</f>
        <v>0</v>
      </c>
    </row>
    <row r="14" spans="1:8" x14ac:dyDescent="0.25">
      <c r="A14" s="31" t="str">
        <f>DADOS_MENSAIS!A17</f>
        <v>dez/26</v>
      </c>
      <c r="B14" s="34">
        <f>IFERROR(RESULTADOS!O17,"")</f>
        <v>0.9</v>
      </c>
      <c r="C14" s="35">
        <f>IFERROR(RESULTADOS!P17,"")</f>
        <v>0</v>
      </c>
      <c r="D14" s="37">
        <f>IFERROR(RESULTADOS!C17,"")</f>
        <v>1</v>
      </c>
      <c r="E14" s="37">
        <f>IFERROR(RESULTADOS!F17,"")</f>
        <v>1</v>
      </c>
      <c r="F14" s="37">
        <f>IFERROR(RESULTADOS!I17,"")</f>
        <v>1</v>
      </c>
      <c r="G14" s="37">
        <f>IFERROR(RESULTADOS!L17,"")</f>
        <v>1</v>
      </c>
      <c r="H14" s="37">
        <f>IFERROR(RESULTADOS!N17,"")</f>
        <v>0</v>
      </c>
    </row>
    <row r="16" spans="1:8" x14ac:dyDescent="0.25">
      <c r="A16" s="57" t="s">
        <v>128</v>
      </c>
      <c r="B16" s="38">
        <f t="shared" ref="B16:H16" si="0">IFERROR(AVERAGE(B3:B14),"")</f>
        <v>0.93250000000000022</v>
      </c>
      <c r="C16" s="39">
        <f t="shared" si="0"/>
        <v>68832.280912500006</v>
      </c>
      <c r="D16" s="40">
        <f t="shared" si="0"/>
        <v>1</v>
      </c>
      <c r="E16" s="40">
        <f t="shared" si="0"/>
        <v>1</v>
      </c>
      <c r="F16" s="40">
        <f t="shared" si="0"/>
        <v>1</v>
      </c>
      <c r="G16" s="40">
        <f t="shared" si="0"/>
        <v>1</v>
      </c>
      <c r="H16" s="40">
        <f t="shared" si="0"/>
        <v>0.32500000000000001</v>
      </c>
    </row>
  </sheetData>
  <mergeCells count="2">
    <mergeCell ref="A1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DADOS_MENSAIS</vt:lpstr>
      <vt:lpstr>TABELAS_SLA</vt:lpstr>
      <vt:lpstr>RESULTADOS</vt:lpstr>
      <vt:lpstr>EVOLUÇÃO_ANUAL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L Guimarães</cp:lastModifiedBy>
  <dcterms:created xsi:type="dcterms:W3CDTF">2026-05-14T17:40:31Z</dcterms:created>
  <dcterms:modified xsi:type="dcterms:W3CDTF">2026-05-14T18:18:41Z</dcterms:modified>
</cp:coreProperties>
</file>