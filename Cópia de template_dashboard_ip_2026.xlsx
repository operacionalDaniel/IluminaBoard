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fc09aecad74638a/Área de Trabalho/"/>
    </mc:Choice>
  </mc:AlternateContent>
  <xr:revisionPtr revIDLastSave="0" documentId="8_{BE03B95D-D1C1-4C94-9C3E-5035E1A655B3}" xr6:coauthVersionLast="47" xr6:coauthVersionMax="47" xr10:uidLastSave="{00000000-0000-0000-0000-000000000000}"/>
  <bookViews>
    <workbookView xWindow="-28920" yWindow="-1485" windowWidth="29040" windowHeight="15720" xr2:uid="{00000000-000D-0000-FFFF-FFFF00000000}"/>
  </bookViews>
  <sheets>
    <sheet name="DADOS_MENSAIS" sheetId="1" r:id="rId1"/>
    <sheet name="TABELAS_SLA" sheetId="2" r:id="rId2"/>
    <sheet name="RESULTAD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3" l="1"/>
  <c r="H15" i="3"/>
  <c r="I15" i="3" s="1"/>
  <c r="F15" i="3"/>
  <c r="G15" i="3" s="1"/>
  <c r="D15" i="3"/>
  <c r="E15" i="3" s="1"/>
  <c r="B15" i="3"/>
  <c r="C15" i="3" s="1"/>
  <c r="A15" i="3"/>
  <c r="J14" i="3"/>
  <c r="H14" i="3"/>
  <c r="I14" i="3" s="1"/>
  <c r="F14" i="3"/>
  <c r="G14" i="3" s="1"/>
  <c r="D14" i="3"/>
  <c r="E14" i="3" s="1"/>
  <c r="B14" i="3"/>
  <c r="C14" i="3" s="1"/>
  <c r="A14" i="3"/>
  <c r="J13" i="3"/>
  <c r="H13" i="3"/>
  <c r="I13" i="3" s="1"/>
  <c r="F13" i="3"/>
  <c r="G13" i="3" s="1"/>
  <c r="D13" i="3"/>
  <c r="E13" i="3" s="1"/>
  <c r="B13" i="3"/>
  <c r="C13" i="3" s="1"/>
  <c r="A13" i="3"/>
  <c r="J12" i="3"/>
  <c r="H12" i="3"/>
  <c r="I12" i="3" s="1"/>
  <c r="F12" i="3"/>
  <c r="G12" i="3" s="1"/>
  <c r="D12" i="3"/>
  <c r="E12" i="3" s="1"/>
  <c r="B12" i="3"/>
  <c r="C12" i="3" s="1"/>
  <c r="A12" i="3"/>
  <c r="J11" i="3"/>
  <c r="H11" i="3"/>
  <c r="I11" i="3" s="1"/>
  <c r="F11" i="3"/>
  <c r="G11" i="3" s="1"/>
  <c r="D11" i="3"/>
  <c r="E11" i="3" s="1"/>
  <c r="B11" i="3"/>
  <c r="C11" i="3" s="1"/>
  <c r="A11" i="3"/>
  <c r="J10" i="3"/>
  <c r="H10" i="3"/>
  <c r="I10" i="3" s="1"/>
  <c r="F10" i="3"/>
  <c r="G10" i="3" s="1"/>
  <c r="D10" i="3"/>
  <c r="E10" i="3" s="1"/>
  <c r="B10" i="3"/>
  <c r="C10" i="3" s="1"/>
  <c r="K10" i="3" s="1"/>
  <c r="L10" i="3" s="1"/>
  <c r="A10" i="3"/>
  <c r="J9" i="3"/>
  <c r="H9" i="3"/>
  <c r="I9" i="3" s="1"/>
  <c r="F9" i="3"/>
  <c r="G9" i="3" s="1"/>
  <c r="D9" i="3"/>
  <c r="E9" i="3" s="1"/>
  <c r="B9" i="3"/>
  <c r="C9" i="3" s="1"/>
  <c r="K9" i="3" s="1"/>
  <c r="L9" i="3" s="1"/>
  <c r="A9" i="3"/>
  <c r="J8" i="3"/>
  <c r="H8" i="3"/>
  <c r="I8" i="3" s="1"/>
  <c r="F8" i="3"/>
  <c r="G8" i="3" s="1"/>
  <c r="D8" i="3"/>
  <c r="E8" i="3" s="1"/>
  <c r="B8" i="3"/>
  <c r="C8" i="3" s="1"/>
  <c r="A8" i="3"/>
  <c r="J7" i="3"/>
  <c r="H7" i="3"/>
  <c r="I7" i="3" s="1"/>
  <c r="F7" i="3"/>
  <c r="G7" i="3" s="1"/>
  <c r="D7" i="3"/>
  <c r="E7" i="3" s="1"/>
  <c r="B7" i="3"/>
  <c r="C7" i="3" s="1"/>
  <c r="A7" i="3"/>
  <c r="J6" i="3"/>
  <c r="H6" i="3"/>
  <c r="I6" i="3" s="1"/>
  <c r="F6" i="3"/>
  <c r="G6" i="3" s="1"/>
  <c r="D6" i="3"/>
  <c r="E6" i="3" s="1"/>
  <c r="B6" i="3"/>
  <c r="C6" i="3" s="1"/>
  <c r="A6" i="3"/>
  <c r="J5" i="3"/>
  <c r="H5" i="3"/>
  <c r="I5" i="3" s="1"/>
  <c r="F5" i="3"/>
  <c r="G5" i="3" s="1"/>
  <c r="D5" i="3"/>
  <c r="E5" i="3" s="1"/>
  <c r="B5" i="3"/>
  <c r="C5" i="3" s="1"/>
  <c r="A5" i="3"/>
  <c r="J4" i="3"/>
  <c r="H4" i="3"/>
  <c r="I4" i="3" s="1"/>
  <c r="F4" i="3"/>
  <c r="G4" i="3" s="1"/>
  <c r="D4" i="3"/>
  <c r="E4" i="3" s="1"/>
  <c r="B4" i="3"/>
  <c r="C4" i="3" s="1"/>
  <c r="A4" i="3"/>
  <c r="K5" i="3" l="1"/>
  <c r="L5" i="3" s="1"/>
  <c r="K6" i="3"/>
  <c r="L6" i="3" s="1"/>
  <c r="K14" i="3"/>
  <c r="L14" i="3" s="1"/>
  <c r="K13" i="3"/>
  <c r="L13" i="3" s="1"/>
  <c r="K4" i="3"/>
  <c r="L4" i="3" s="1"/>
  <c r="K8" i="3"/>
  <c r="L8" i="3" s="1"/>
  <c r="K12" i="3"/>
  <c r="L12" i="3" s="1"/>
  <c r="K7" i="3"/>
  <c r="L7" i="3" s="1"/>
  <c r="K11" i="3"/>
  <c r="L11" i="3" s="1"/>
  <c r="K15" i="3"/>
  <c r="L15" i="3" s="1"/>
</calcChain>
</file>

<file path=xl/sharedStrings.xml><?xml version="1.0" encoding="utf-8"?>
<sst xmlns="http://schemas.openxmlformats.org/spreadsheetml/2006/main" count="96" uniqueCount="89">
  <si>
    <t>DASHBOARD ILUMINAÇÃO PÚBLICA · BASE DE DADOS MENSAL</t>
  </si>
  <si>
    <t>Campos AZUIS = entrada de dados · Não altere cabeçalhos nem a estrutura das colunas</t>
  </si>
  <si>
    <t>MÊS</t>
  </si>
  <si>
    <t>FINANCEIRO</t>
  </si>
  <si>
    <t>SLA 1 · Pontos de IP Acesos</t>
  </si>
  <si>
    <t>SLA 2 · Emergência</t>
  </si>
  <si>
    <t>SLA 3 · Não Emerg.</t>
  </si>
  <si>
    <t>SLA 4 · Sistema</t>
  </si>
  <si>
    <t>SLA 5 · Distribuição Satisfação (%)</t>
  </si>
  <si>
    <t>SLA 5 · Contagem</t>
  </si>
  <si>
    <t>Mês</t>
  </si>
  <si>
    <t>CMM</t>
  </si>
  <si>
    <t>FM</t>
  </si>
  <si>
    <t>Nf</t>
  </si>
  <si>
    <t>Ni</t>
  </si>
  <si>
    <t>Pt</t>
  </si>
  <si>
    <t>NCEi</t>
  </si>
  <si>
    <t>NCEa</t>
  </si>
  <si>
    <t>NCNEi</t>
  </si>
  <si>
    <t>NCNEa</t>
  </si>
  <si>
    <t>Dm</t>
  </si>
  <si>
    <t>Ti</t>
  </si>
  <si>
    <t>% Ótimo</t>
  </si>
  <si>
    <t>% Bom</t>
  </si>
  <si>
    <t>% Regular</t>
  </si>
  <si>
    <t>% Ruim</t>
  </si>
  <si>
    <t>Total Ligações</t>
  </si>
  <si>
    <t>Não Opinou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</si>
  <si>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</si>
  <si>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</si>
  <si>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</si>
  <si>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</si>
  <si>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</si>
  <si>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</si>
  <si>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</si>
  <si>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</si>
  <si>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</si>
  <si>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</si>
  <si>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</si>
  <si>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</si>
  <si>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⚠  Não altere os cabeçalhos da linha 4 · Não insira linhas antes da linha 5 · Formato mês: jan/26, fev/26...</t>
  </si>
  <si>
    <t>TABELAS DE PONTUAÇÃO DOS SLAs</t>
  </si>
  <si>
    <t>SLA 1 &amp; 4 — Disponibilidade / Pontos Acesos  [Peso: SLA1=40%, SLA4=10%]</t>
  </si>
  <si>
    <t>Mínimo</t>
  </si>
  <si>
    <t>Máximo</t>
  </si>
  <si>
    <t>Score</t>
  </si>
  <si>
    <t>99,01%</t>
  </si>
  <si>
    <t>100%</t>
  </si>
  <si>
    <t>98,01%</t>
  </si>
  <si>
    <t>99,00%</t>
  </si>
  <si>
    <t>97,01%</t>
  </si>
  <si>
    <t>98,00%</t>
  </si>
  <si>
    <t>96,01%</t>
  </si>
  <si>
    <t>97,00%</t>
  </si>
  <si>
    <t>0,00%</t>
  </si>
  <si>
    <t>96,00%</t>
  </si>
  <si>
    <t>SLA 2 &amp; 3 — Chamados Emergenciais / Não Emergenciais  [Peso: SLA2=20%, SLA3=20%]</t>
  </si>
  <si>
    <t>93,76%</t>
  </si>
  <si>
    <t>87,51%</t>
  </si>
  <si>
    <t>93,75%</t>
  </si>
  <si>
    <t>81,26%</t>
  </si>
  <si>
    <t>87,50%</t>
  </si>
  <si>
    <t>75,01%</t>
  </si>
  <si>
    <t>81,25%</t>
  </si>
  <si>
    <t>75,00%</t>
  </si>
  <si>
    <t>SLA 5 — Pesquisa de Satisfação  [Peso: 10%]</t>
  </si>
  <si>
    <t>Classificação</t>
  </si>
  <si>
    <t>Faixa</t>
  </si>
  <si>
    <t>Ruim</t>
  </si>
  <si>
    <t>SLA &lt; 60%</t>
  </si>
  <si>
    <t>Regular</t>
  </si>
  <si>
    <t>60%≤SLA≤70%</t>
  </si>
  <si>
    <t>Bom</t>
  </si>
  <si>
    <t>70%≤SLA≤90%</t>
  </si>
  <si>
    <t>Ótimo</t>
  </si>
  <si>
    <t>SLA≥90%</t>
  </si>
  <si>
    <t>RESULTADOS CALCULADOS — NÃO EDITAR MANUALMENTE</t>
  </si>
  <si>
    <t>Calculado automaticamente via DADOS_MENSAIS · linha 4 = cabeçalhos · linhas 5+ = dados</t>
  </si>
  <si>
    <t>PPA %
SLA1</t>
  </si>
  <si>
    <t>Score
SLA1</t>
  </si>
  <si>
    <t>PCE %
SLA2</t>
  </si>
  <si>
    <t>Score
SLA2</t>
  </si>
  <si>
    <t>PCNE%
SLA3</t>
  </si>
  <si>
    <t>Score
SLA3</t>
  </si>
  <si>
    <t>TOS %
SLA4</t>
  </si>
  <si>
    <t>Score
SLA4</t>
  </si>
  <si>
    <t>Score
SLA5</t>
  </si>
  <si>
    <t>IE (FE)</t>
  </si>
  <si>
    <t>CME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</si>
</sst>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0.0"/>
    <numFmt numFmtId="166" formatCode="0.0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8"/>
      <color rgb="FF64748B"/>
      <name val="Arial"/>
    </font>
    <font>
      <b/>
      <sz val="9"/>
      <color rgb="FFFFFFFF"/>
      <name val="Arial"/>
    </font>
    <font>
      <b/>
      <sz val="9"/>
      <color rgb="FF1E3A5F"/>
      <name val="Arial"/>
    </font>
    <font>
      <sz val="9"/>
      <color rgb="FF0000FF"/>
      <name val="Arial"/>
    </font>
    <font>
      <i/>
      <sz val="8"/>
      <color rgb="FFF59E0B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E2E8F0"/>
      <name val="Arial"/>
    </font>
    <font>
      <i/>
      <sz val="9"/>
      <color rgb="FF64748B"/>
      <name val="Arial"/>
    </font>
    <font>
      <b/>
      <sz val="8"/>
      <color rgb="FFFFFFFF"/>
      <name val="Arial"/>
    </font>
    <font>
      <b/>
      <sz val="9"/>
      <color rgb="FF9DB8D2"/>
      <name val="Arial"/>
    </font>
  </fonts>
  <fills count="28">
    <fill>
      <patternFill patternType="none"/>
    </fill>
    <fill>
      <patternFill patternType="gray125"/>
    </fill>
    <fill>
      <patternFill patternType="solid">
        <fgColor rgb="FF0B0F1A"/>
      </patternFill>
    </fill>
    <fill>
      <patternFill patternType="solid">
        <fgColor rgb="FF121827"/>
      </patternFill>
    </fill>
    <fill>
      <patternFill patternType="solid">
        <fgColor rgb="FF1E3A5F"/>
      </patternFill>
    </fill>
    <fill>
      <patternFill patternType="solid">
        <fgColor rgb="FF7F1D1D"/>
      </patternFill>
    </fill>
    <fill>
      <patternFill patternType="solid">
        <fgColor rgb="FF14532D"/>
      </patternFill>
    </fill>
    <fill>
      <patternFill patternType="solid">
        <fgColor rgb="FF052E16"/>
      </patternFill>
    </fill>
    <fill>
      <patternFill patternType="solid">
        <fgColor rgb="FF713F12"/>
      </patternFill>
    </fill>
    <fill>
      <patternFill patternType="solid">
        <fgColor rgb="FF451A03"/>
      </patternFill>
    </fill>
    <fill>
      <patternFill patternType="solid">
        <fgColor rgb="FF1A2F52"/>
      </patternFill>
    </fill>
    <fill>
      <patternFill patternType="solid">
        <fgColor rgb="FF6B1111"/>
      </patternFill>
    </fill>
    <fill>
      <patternFill patternType="solid">
        <fgColor rgb="FF0F4229"/>
      </patternFill>
    </fill>
    <fill>
      <patternFill patternType="solid">
        <fgColor rgb="FF042318"/>
      </patternFill>
    </fill>
    <fill>
      <patternFill patternType="solid">
        <fgColor rgb="FF5B3209"/>
      </patternFill>
    </fill>
    <fill>
      <patternFill patternType="solid">
        <fgColor rgb="FF3A1502"/>
      </patternFill>
    </fill>
    <fill>
      <patternFill patternType="solid">
        <fgColor rgb="FFD1E3FF"/>
      </patternFill>
    </fill>
    <fill>
      <patternFill patternType="solid">
        <fgColor rgb="FFEFF6FF"/>
      </patternFill>
    </fill>
    <fill>
      <patternFill patternType="solid">
        <fgColor rgb="FFC7DBFF"/>
      </patternFill>
    </fill>
    <fill>
      <patternFill patternType="solid">
        <fgColor rgb="FFE8F0FE"/>
      </patternFill>
    </fill>
    <fill>
      <patternFill patternType="solid">
        <fgColor rgb="FF1A1A2E"/>
      </patternFill>
    </fill>
    <fill>
      <patternFill patternType="solid">
        <fgColor rgb="FFEF4444"/>
      </patternFill>
    </fill>
    <fill>
      <patternFill patternType="solid">
        <fgColor rgb="FF1A2535"/>
      </patternFill>
    </fill>
    <fill>
      <patternFill patternType="solid">
        <fgColor rgb="FF131B2A"/>
      </patternFill>
    </fill>
    <fill>
      <patternFill patternType="solid">
        <fgColor rgb="FF0F1726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141C2B"/>
      </patternFill>
    </fill>
  </fills>
  <borders count="2">
    <border>
      <left/>
      <right/>
      <top/>
      <bottom/>
      <diagonal/>
    </border>
    <border>
      <left style="thin">
        <color rgb="FF1E2D45"/>
      </left>
      <right style="thin">
        <color rgb="FF1E2D45"/>
      </right>
      <top style="thin">
        <color rgb="FF1E2D45"/>
      </top>
      <bottom style="thin">
        <color rgb="FF1E2D45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164" fontId="5" fillId="17" borderId="1" xfId="0" applyNumberFormat="1" applyFont="1" applyFill="1" applyBorder="1" applyAlignment="1">
      <alignment horizontal="center" vertical="center"/>
    </xf>
    <xf numFmtId="2" fontId="5" fillId="17" borderId="1" xfId="0" applyNumberFormat="1" applyFont="1" applyFill="1" applyBorder="1" applyAlignment="1">
      <alignment horizontal="center" vertical="center"/>
    </xf>
    <xf numFmtId="3" fontId="5" fillId="17" borderId="1" xfId="0" applyNumberFormat="1" applyFont="1" applyFill="1" applyBorder="1" applyAlignment="1">
      <alignment horizontal="center" vertical="center"/>
    </xf>
    <xf numFmtId="165" fontId="5" fillId="17" borderId="1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164" fontId="5" fillId="19" borderId="1" xfId="0" applyNumberFormat="1" applyFont="1" applyFill="1" applyBorder="1" applyAlignment="1">
      <alignment horizontal="center" vertical="center"/>
    </xf>
    <xf numFmtId="2" fontId="5" fillId="19" borderId="1" xfId="0" applyNumberFormat="1" applyFont="1" applyFill="1" applyBorder="1" applyAlignment="1">
      <alignment horizontal="center" vertical="center"/>
    </xf>
    <xf numFmtId="3" fontId="5" fillId="19" borderId="1" xfId="0" applyNumberFormat="1" applyFont="1" applyFill="1" applyBorder="1" applyAlignment="1">
      <alignment horizontal="center" vertical="center"/>
    </xf>
    <xf numFmtId="165" fontId="5" fillId="19" borderId="1" xfId="0" applyNumberFormat="1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/>
    </xf>
    <xf numFmtId="10" fontId="9" fillId="24" borderId="1" xfId="0" applyNumberFormat="1" applyFont="1" applyFill="1" applyBorder="1" applyAlignment="1">
      <alignment horizontal="center" vertical="center"/>
    </xf>
    <xf numFmtId="166" fontId="9" fillId="24" borderId="1" xfId="0" applyNumberFormat="1" applyFont="1" applyFill="1" applyBorder="1" applyAlignment="1">
      <alignment horizontal="center" vertical="center"/>
    </xf>
    <xf numFmtId="164" fontId="9" fillId="24" borderId="1" xfId="0" applyNumberFormat="1" applyFont="1" applyFill="1" applyBorder="1" applyAlignment="1">
      <alignment horizontal="center" vertical="center"/>
    </xf>
    <xf numFmtId="0" fontId="12" fillId="27" borderId="1" xfId="0" applyFont="1" applyFill="1" applyBorder="1" applyAlignment="1">
      <alignment horizontal="center" vertical="center"/>
    </xf>
    <xf numFmtId="10" fontId="9" fillId="27" borderId="1" xfId="0" applyNumberFormat="1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166" fontId="9" fillId="27" borderId="1" xfId="0" applyNumberFormat="1" applyFont="1" applyFill="1" applyBorder="1" applyAlignment="1">
      <alignment horizontal="center" vertical="center"/>
    </xf>
    <xf numFmtId="164" fontId="9" fillId="27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0" borderId="0" xfId="0"/>
    <xf numFmtId="0" fontId="3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6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0" fontId="8" fillId="2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V10" sqref="V10"/>
    </sheetView>
  </sheetViews>
  <sheetFormatPr defaultRowHeight="15" x14ac:dyDescent="0.25"/>
  <cols>
    <col min="1" max="2" width="16" customWidth="1"/>
    <col min="3" max="5" width="12" customWidth="1"/>
    <col min="6" max="10" width="13" customWidth="1"/>
    <col min="11" max="11" width="11" customWidth="1"/>
    <col min="12" max="12" width="12" customWidth="1"/>
    <col min="13" max="17" width="11" customWidth="1"/>
    <col min="18" max="18" width="10" customWidth="1"/>
  </cols>
  <sheetData>
    <row r="1" spans="1:18" ht="38.1" customHeight="1" x14ac:dyDescent="0.25">
      <c r="A1" s="38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5.95" customHeight="1" x14ac:dyDescent="0.25">
      <c r="A2" s="34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21.95" customHeight="1" x14ac:dyDescent="0.25">
      <c r="A3" s="1" t="s">
        <v>2</v>
      </c>
      <c r="B3" s="35" t="s">
        <v>3</v>
      </c>
      <c r="C3" s="32"/>
      <c r="D3" s="37" t="s">
        <v>4</v>
      </c>
      <c r="E3" s="32"/>
      <c r="F3" s="32"/>
      <c r="G3" s="39" t="s">
        <v>5</v>
      </c>
      <c r="H3" s="32"/>
      <c r="I3" s="40" t="s">
        <v>6</v>
      </c>
      <c r="J3" s="32"/>
      <c r="K3" s="35" t="s">
        <v>7</v>
      </c>
      <c r="L3" s="32"/>
      <c r="M3" s="33" t="s">
        <v>8</v>
      </c>
      <c r="N3" s="32"/>
      <c r="O3" s="32"/>
      <c r="P3" s="32"/>
      <c r="Q3" s="31" t="s">
        <v>9</v>
      </c>
      <c r="R3" s="32"/>
    </row>
    <row r="4" spans="1:18" ht="32.1" customHeight="1" x14ac:dyDescent="0.25">
      <c r="A4" s="1" t="s">
        <v>10</v>
      </c>
      <c r="B4" s="2" t="s">
        <v>11</v>
      </c>
      <c r="C4" s="2" t="s">
        <v>12</v>
      </c>
      <c r="D4" s="3" t="s">
        <v>13</v>
      </c>
      <c r="E4" s="3" t="s">
        <v>14</v>
      </c>
      <c r="F4" s="3" t="s">
        <v>15</v>
      </c>
      <c r="G4" s="4" t="s">
        <v>16</v>
      </c>
      <c r="H4" s="4" t="s">
        <v>17</v>
      </c>
      <c r="I4" s="5" t="s">
        <v>18</v>
      </c>
      <c r="J4" s="5" t="s">
        <v>19</v>
      </c>
      <c r="K4" s="2" t="s">
        <v>20</v>
      </c>
      <c r="L4" s="2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7" t="s">
        <v>26</v>
      </c>
      <c r="R4" s="7" t="s">
        <v>27</v>
      </c>
    </row>
    <row r="5" spans="1:18" ht="21.95" customHeight="1" x14ac:dyDescent="0.25">
      <c r="A5" s="8" t="s">
        <v>28</v>
      </c>
      <c r="B5" s="9">
        <v>409644.81</v>
      </c>
      <c r="C5" s="10">
        <v>0.5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29</v>
      </c>
      <c r="J5" s="11">
        <v>29</v>
      </c>
      <c r="K5" s="11">
        <v>31</v>
      </c>
      <c r="L5" s="11">
        <v>0</v>
      </c>
      <c r="M5" s="12">
        <v>53</v>
      </c>
      <c r="N5" s="12">
        <v>30.8</v>
      </c>
      <c r="O5" s="12">
        <v>7.7</v>
      </c>
      <c r="P5" s="12">
        <v>7.7</v>
      </c>
      <c r="Q5" s="11">
        <v>26</v>
      </c>
      <c r="R5" s="11">
        <v>11</v>
      </c>
    </row>
    <row r="6" spans="1:18" ht="21.95" customHeight="1" x14ac:dyDescent="0.25">
      <c r="A6" s="13" t="s">
        <v>29</v>
      </c>
      <c r="B6" s="14">
        <v>409644.81</v>
      </c>
      <c r="C6" s="15">
        <v>0.5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18</v>
      </c>
      <c r="J6" s="16">
        <v>18</v>
      </c>
      <c r="K6" s="16">
        <v>28</v>
      </c>
      <c r="L6" s="16">
        <v>0</v>
      </c>
      <c r="M6" s="17">
        <v>52.9</v>
      </c>
      <c r="N6" s="17">
        <v>38.200000000000003</v>
      </c>
      <c r="O6" s="17">
        <v>8.8000000000000007</v>
      </c>
      <c r="P6" s="17">
        <v>0</v>
      </c>
      <c r="Q6" s="16">
        <v>35</v>
      </c>
      <c r="R6" s="16">
        <v>10</v>
      </c>
    </row>
    <row r="7" spans="1:18" ht="21.95" customHeight="1" x14ac:dyDescent="0.25">
      <c r="A7" s="8" t="s">
        <v>30</v>
      </c>
      <c r="B7" s="9">
        <v>409644.81</v>
      </c>
      <c r="C7" s="10">
        <v>0.5</v>
      </c>
      <c r="D7" s="11">
        <v>0</v>
      </c>
      <c r="E7" s="11">
        <v>0</v>
      </c>
      <c r="F7" s="11">
        <v>15494</v>
      </c>
      <c r="G7" s="11">
        <v>0</v>
      </c>
      <c r="H7" s="11">
        <v>0</v>
      </c>
      <c r="I7" s="11">
        <v>17</v>
      </c>
      <c r="J7" s="11">
        <v>17</v>
      </c>
      <c r="K7" s="11">
        <v>31</v>
      </c>
      <c r="L7" s="11">
        <v>0</v>
      </c>
      <c r="M7" s="12">
        <v>76.2</v>
      </c>
      <c r="N7" s="12">
        <v>14.3</v>
      </c>
      <c r="O7" s="12">
        <v>4.8</v>
      </c>
      <c r="P7" s="12">
        <v>4.8</v>
      </c>
      <c r="Q7" s="11">
        <v>22</v>
      </c>
      <c r="R7" s="11">
        <v>14</v>
      </c>
    </row>
    <row r="8" spans="1:18" ht="21.95" customHeight="1" x14ac:dyDescent="0.25">
      <c r="A8" s="13" t="s">
        <v>31</v>
      </c>
      <c r="B8" s="14">
        <v>427136.76</v>
      </c>
      <c r="C8" s="15">
        <v>0.5</v>
      </c>
      <c r="D8" s="16">
        <v>221</v>
      </c>
      <c r="E8" s="16">
        <v>0</v>
      </c>
      <c r="F8" s="16">
        <v>15879</v>
      </c>
      <c r="G8" s="16">
        <v>2</v>
      </c>
      <c r="H8" s="16">
        <v>2</v>
      </c>
      <c r="I8" s="16">
        <v>15</v>
      </c>
      <c r="J8" s="16">
        <v>15</v>
      </c>
      <c r="K8" s="16">
        <v>30</v>
      </c>
      <c r="L8" s="16">
        <v>0</v>
      </c>
      <c r="M8" s="17">
        <v>64</v>
      </c>
      <c r="N8" s="17">
        <v>36</v>
      </c>
      <c r="O8" s="17">
        <v>0</v>
      </c>
      <c r="P8" s="17">
        <v>0</v>
      </c>
      <c r="Q8" s="16">
        <v>26</v>
      </c>
      <c r="R8" s="16">
        <v>2</v>
      </c>
    </row>
    <row r="9" spans="1:18" ht="21.95" customHeight="1" x14ac:dyDescent="0.25">
      <c r="A9" s="8" t="s">
        <v>32</v>
      </c>
      <c r="B9" s="9"/>
      <c r="C9" s="10"/>
      <c r="D9" s="11"/>
      <c r="E9" s="11"/>
      <c r="F9" s="11"/>
      <c r="G9" s="11"/>
      <c r="H9" s="11"/>
      <c r="I9" s="11"/>
      <c r="J9" s="11"/>
      <c r="K9" s="11">
        <v>31</v>
      </c>
      <c r="L9" s="11"/>
      <c r="M9" s="12"/>
      <c r="N9" s="12"/>
      <c r="O9" s="12"/>
      <c r="P9" s="12"/>
      <c r="Q9" s="11"/>
      <c r="R9" s="11"/>
    </row>
    <row r="10" spans="1:18" ht="21.95" customHeight="1" x14ac:dyDescent="0.25">
      <c r="A10" s="13" t="s">
        <v>33</v>
      </c>
      <c r="B10" s="14"/>
      <c r="C10" s="15"/>
      <c r="D10" s="16"/>
      <c r="E10" s="16"/>
      <c r="F10" s="16"/>
      <c r="G10" s="16"/>
      <c r="H10" s="16"/>
      <c r="I10" s="16"/>
      <c r="J10" s="16"/>
      <c r="K10" s="16">
        <v>30</v>
      </c>
      <c r="L10" s="16"/>
      <c r="M10" s="17"/>
      <c r="N10" s="17"/>
      <c r="O10" s="17"/>
      <c r="P10" s="17"/>
      <c r="Q10" s="16"/>
      <c r="R10" s="16"/>
    </row>
    <row r="11" spans="1:18" ht="21.95" customHeight="1" x14ac:dyDescent="0.25">
      <c r="A11" s="8" t="s">
        <v>34</v>
      </c>
      <c r="B11" s="9"/>
      <c r="C11" s="10"/>
      <c r="D11" s="11"/>
      <c r="E11" s="11"/>
      <c r="F11" s="11"/>
      <c r="G11" s="11"/>
      <c r="H11" s="11"/>
      <c r="I11" s="11"/>
      <c r="J11" s="11"/>
      <c r="K11" s="11">
        <v>31</v>
      </c>
      <c r="L11" s="11"/>
      <c r="M11" s="12"/>
      <c r="N11" s="12"/>
      <c r="O11" s="12"/>
      <c r="P11" s="12"/>
      <c r="Q11" s="11"/>
      <c r="R11" s="11"/>
    </row>
    <row r="12" spans="1:18" ht="21.95" customHeight="1" x14ac:dyDescent="0.25">
      <c r="A12" s="13" t="s">
        <v>35</v>
      </c>
      <c r="B12" s="14"/>
      <c r="C12" s="15"/>
      <c r="D12" s="16"/>
      <c r="E12" s="16"/>
      <c r="F12" s="16"/>
      <c r="G12" s="16"/>
      <c r="H12" s="16"/>
      <c r="I12" s="16"/>
      <c r="J12" s="16"/>
      <c r="K12" s="16">
        <v>31</v>
      </c>
      <c r="L12" s="16"/>
      <c r="M12" s="17"/>
      <c r="N12" s="17"/>
      <c r="O12" s="17"/>
      <c r="P12" s="17"/>
      <c r="Q12" s="16"/>
      <c r="R12" s="16"/>
    </row>
    <row r="13" spans="1:18" ht="21.95" customHeight="1" x14ac:dyDescent="0.25">
      <c r="A13" s="8" t="s">
        <v>36</v>
      </c>
      <c r="B13" s="9"/>
      <c r="C13" s="10"/>
      <c r="D13" s="11"/>
      <c r="E13" s="11"/>
      <c r="F13" s="11"/>
      <c r="G13" s="11"/>
      <c r="H13" s="11"/>
      <c r="I13" s="11"/>
      <c r="J13" s="11"/>
      <c r="K13" s="11">
        <v>30</v>
      </c>
      <c r="L13" s="11"/>
      <c r="M13" s="12"/>
      <c r="N13" s="12"/>
      <c r="O13" s="12"/>
      <c r="P13" s="12"/>
      <c r="Q13" s="11"/>
      <c r="R13" s="11"/>
    </row>
    <row r="14" spans="1:18" ht="21.95" customHeight="1" x14ac:dyDescent="0.25">
      <c r="A14" s="13" t="s">
        <v>37</v>
      </c>
      <c r="B14" s="14"/>
      <c r="C14" s="15"/>
      <c r="D14" s="16"/>
      <c r="E14" s="16"/>
      <c r="F14" s="16"/>
      <c r="G14" s="16"/>
      <c r="H14" s="16"/>
      <c r="I14" s="16"/>
      <c r="J14" s="16"/>
      <c r="K14" s="16">
        <v>31</v>
      </c>
      <c r="L14" s="16"/>
      <c r="M14" s="17"/>
      <c r="N14" s="17"/>
      <c r="O14" s="17"/>
      <c r="P14" s="17"/>
      <c r="Q14" s="16"/>
      <c r="R14" s="16"/>
    </row>
    <row r="15" spans="1:18" ht="21.95" customHeight="1" x14ac:dyDescent="0.25">
      <c r="A15" s="8" t="s">
        <v>38</v>
      </c>
      <c r="B15" s="9"/>
      <c r="C15" s="10"/>
      <c r="D15" s="11"/>
      <c r="E15" s="11"/>
      <c r="F15" s="11"/>
      <c r="G15" s="11"/>
      <c r="H15" s="11"/>
      <c r="I15" s="11"/>
      <c r="J15" s="11"/>
      <c r="K15" s="11">
        <v>30</v>
      </c>
      <c r="L15" s="11"/>
      <c r="M15" s="12"/>
      <c r="N15" s="12"/>
      <c r="O15" s="12"/>
      <c r="P15" s="12"/>
      <c r="Q15" s="11"/>
      <c r="R15" s="11"/>
    </row>
    <row r="16" spans="1:18" ht="21.95" customHeight="1" x14ac:dyDescent="0.25">
      <c r="A16" s="13" t="s">
        <v>39</v>
      </c>
      <c r="B16" s="14"/>
      <c r="C16" s="15"/>
      <c r="D16" s="16"/>
      <c r="E16" s="16"/>
      <c r="F16" s="16"/>
      <c r="G16" s="16"/>
      <c r="H16" s="16"/>
      <c r="I16" s="16"/>
      <c r="J16" s="16"/>
      <c r="K16" s="16">
        <v>31</v>
      </c>
      <c r="L16" s="16"/>
      <c r="M16" s="17"/>
      <c r="N16" s="17"/>
      <c r="O16" s="17"/>
      <c r="P16" s="17"/>
      <c r="Q16" s="16"/>
      <c r="R16" s="16"/>
    </row>
    <row r="17" spans="1:18" ht="21.95" customHeight="1" x14ac:dyDescent="0.25"/>
    <row r="18" spans="1:18" ht="21.95" customHeight="1" x14ac:dyDescent="0.25"/>
    <row r="19" spans="1:18" ht="21.95" customHeight="1" x14ac:dyDescent="0.25">
      <c r="A19" s="36" t="s">
        <v>40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</sheetData>
  <mergeCells count="10">
    <mergeCell ref="A1:R1"/>
    <mergeCell ref="G3:H3"/>
    <mergeCell ref="K3:L3"/>
    <mergeCell ref="I3:J3"/>
    <mergeCell ref="Q3:R3"/>
    <mergeCell ref="M3:P3"/>
    <mergeCell ref="A2:R2"/>
    <mergeCell ref="B3:C3"/>
    <mergeCell ref="A19:R19"/>
    <mergeCell ref="D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showGridLines="0" workbookViewId="0"/>
  </sheetViews>
  <sheetFormatPr defaultRowHeight="15" x14ac:dyDescent="0.25"/>
  <cols>
    <col min="1" max="1" width="44" customWidth="1"/>
    <col min="2" max="2" width="22" customWidth="1"/>
    <col min="3" max="3" width="12" customWidth="1"/>
  </cols>
  <sheetData>
    <row r="1" spans="1:3" ht="32.1" customHeight="1" x14ac:dyDescent="0.25">
      <c r="A1" s="41" t="s">
        <v>41</v>
      </c>
      <c r="B1" s="32"/>
      <c r="C1" s="32"/>
    </row>
    <row r="3" spans="1:3" ht="21.95" customHeight="1" x14ac:dyDescent="0.25">
      <c r="A3" s="43" t="s">
        <v>42</v>
      </c>
      <c r="B3" s="32"/>
      <c r="C3" s="32"/>
    </row>
    <row r="4" spans="1:3" x14ac:dyDescent="0.25">
      <c r="A4" s="18" t="s">
        <v>43</v>
      </c>
      <c r="B4" s="18" t="s">
        <v>44</v>
      </c>
      <c r="C4" s="18" t="s">
        <v>45</v>
      </c>
    </row>
    <row r="5" spans="1:3" x14ac:dyDescent="0.25">
      <c r="A5" s="19" t="s">
        <v>46</v>
      </c>
      <c r="B5" s="19" t="s">
        <v>47</v>
      </c>
      <c r="C5" s="19">
        <v>1</v>
      </c>
    </row>
    <row r="6" spans="1:3" x14ac:dyDescent="0.25">
      <c r="A6" s="20" t="s">
        <v>48</v>
      </c>
      <c r="B6" s="20" t="s">
        <v>49</v>
      </c>
      <c r="C6" s="20">
        <v>0.9</v>
      </c>
    </row>
    <row r="7" spans="1:3" x14ac:dyDescent="0.25">
      <c r="A7" s="19" t="s">
        <v>50</v>
      </c>
      <c r="B7" s="19" t="s">
        <v>51</v>
      </c>
      <c r="C7" s="19">
        <v>0.8</v>
      </c>
    </row>
    <row r="8" spans="1:3" x14ac:dyDescent="0.25">
      <c r="A8" s="20" t="s">
        <v>52</v>
      </c>
      <c r="B8" s="20" t="s">
        <v>53</v>
      </c>
      <c r="C8" s="20">
        <v>0.7</v>
      </c>
    </row>
    <row r="9" spans="1:3" x14ac:dyDescent="0.25">
      <c r="A9" s="19" t="s">
        <v>54</v>
      </c>
      <c r="B9" s="19" t="s">
        <v>55</v>
      </c>
      <c r="C9" s="19">
        <v>0</v>
      </c>
    </row>
    <row r="12" spans="1:3" ht="21.95" customHeight="1" x14ac:dyDescent="0.25">
      <c r="A12" s="44" t="s">
        <v>56</v>
      </c>
      <c r="B12" s="32"/>
      <c r="C12" s="32"/>
    </row>
    <row r="13" spans="1:3" x14ac:dyDescent="0.25">
      <c r="A13" s="18" t="s">
        <v>43</v>
      </c>
      <c r="B13" s="18" t="s">
        <v>44</v>
      </c>
      <c r="C13" s="18" t="s">
        <v>45</v>
      </c>
    </row>
    <row r="14" spans="1:3" x14ac:dyDescent="0.25">
      <c r="A14" s="19" t="s">
        <v>57</v>
      </c>
      <c r="B14" s="19" t="s">
        <v>47</v>
      </c>
      <c r="C14" s="19">
        <v>1</v>
      </c>
    </row>
    <row r="15" spans="1:3" x14ac:dyDescent="0.25">
      <c r="A15" s="20" t="s">
        <v>58</v>
      </c>
      <c r="B15" s="20" t="s">
        <v>59</v>
      </c>
      <c r="C15" s="20">
        <v>0.9</v>
      </c>
    </row>
    <row r="16" spans="1:3" x14ac:dyDescent="0.25">
      <c r="A16" s="19" t="s">
        <v>60</v>
      </c>
      <c r="B16" s="19" t="s">
        <v>61</v>
      </c>
      <c r="C16" s="19">
        <v>0.8</v>
      </c>
    </row>
    <row r="17" spans="1:3" x14ac:dyDescent="0.25">
      <c r="A17" s="20" t="s">
        <v>62</v>
      </c>
      <c r="B17" s="20" t="s">
        <v>63</v>
      </c>
      <c r="C17" s="20">
        <v>0.7</v>
      </c>
    </row>
    <row r="18" spans="1:3" x14ac:dyDescent="0.25">
      <c r="A18" s="19" t="s">
        <v>54</v>
      </c>
      <c r="B18" s="19" t="s">
        <v>64</v>
      </c>
      <c r="C18" s="19">
        <v>0</v>
      </c>
    </row>
    <row r="21" spans="1:3" ht="21.95" customHeight="1" x14ac:dyDescent="0.25">
      <c r="A21" s="42" t="s">
        <v>65</v>
      </c>
      <c r="B21" s="32"/>
      <c r="C21" s="32"/>
    </row>
    <row r="22" spans="1:3" x14ac:dyDescent="0.25">
      <c r="A22" s="18" t="s">
        <v>66</v>
      </c>
      <c r="B22" s="18" t="s">
        <v>67</v>
      </c>
      <c r="C22" s="18" t="s">
        <v>45</v>
      </c>
    </row>
    <row r="23" spans="1:3" x14ac:dyDescent="0.25">
      <c r="A23" s="19" t="s">
        <v>68</v>
      </c>
      <c r="B23" s="19" t="s">
        <v>69</v>
      </c>
      <c r="C23" s="19">
        <v>0</v>
      </c>
    </row>
    <row r="24" spans="1:3" x14ac:dyDescent="0.25">
      <c r="A24" s="20" t="s">
        <v>70</v>
      </c>
      <c r="B24" s="20" t="s">
        <v>71</v>
      </c>
      <c r="C24" s="20">
        <v>0</v>
      </c>
    </row>
    <row r="25" spans="1:3" x14ac:dyDescent="0.25">
      <c r="A25" s="19" t="s">
        <v>72</v>
      </c>
      <c r="B25" s="19" t="s">
        <v>73</v>
      </c>
      <c r="C25" s="19">
        <v>0.9</v>
      </c>
    </row>
    <row r="26" spans="1:3" x14ac:dyDescent="0.25">
      <c r="A26" s="20" t="s">
        <v>74</v>
      </c>
      <c r="B26" s="20" t="s">
        <v>75</v>
      </c>
      <c r="C26" s="20">
        <v>1</v>
      </c>
    </row>
  </sheetData>
  <mergeCells count="4">
    <mergeCell ref="A1:C1"/>
    <mergeCell ref="A21:C21"/>
    <mergeCell ref="A3:C3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1" customWidth="1"/>
    <col min="3" max="3" width="9" customWidth="1"/>
    <col min="4" max="4" width="11" customWidth="1"/>
    <col min="5" max="5" width="9" customWidth="1"/>
    <col min="6" max="6" width="11" customWidth="1"/>
    <col min="7" max="7" width="9" customWidth="1"/>
    <col min="8" max="8" width="11" customWidth="1"/>
    <col min="9" max="9" width="9" customWidth="1"/>
    <col min="10" max="11" width="10" customWidth="1"/>
    <col min="12" max="12" width="16" customWidth="1"/>
  </cols>
  <sheetData>
    <row r="1" spans="1:16" ht="32.1" customHeight="1" x14ac:dyDescent="0.25">
      <c r="A1" s="41" t="s">
        <v>76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25">
      <c r="A2" s="45" t="s">
        <v>77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16" ht="30" customHeight="1" x14ac:dyDescent="0.25">
      <c r="A3" s="21" t="s">
        <v>10</v>
      </c>
      <c r="B3" s="21" t="s">
        <v>78</v>
      </c>
      <c r="C3" s="21" t="s">
        <v>79</v>
      </c>
      <c r="D3" s="21" t="s">
        <v>80</v>
      </c>
      <c r="E3" s="21" t="s">
        <v>81</v>
      </c>
      <c r="F3" s="21" t="s">
        <v>82</v>
      </c>
      <c r="G3" s="21" t="s">
        <v>83</v>
      </c>
      <c r="H3" s="21" t="s">
        <v>84</v>
      </c>
      <c r="I3" s="21" t="s">
        <v>85</v>
      </c>
      <c r="J3" s="21" t="s">
        <v>86</v>
      </c>
      <c r="K3" s="21" t="s">
        <v>87</v>
      </c>
      <c r="L3" s="21" t="s">
        <v>88</v>
      </c>
    </row>
    <row r="4" spans="1:16" x14ac:dyDescent="0.25">
      <c r="A4" s="22" t="str">
        <f>DADOS_MENSAIS!A5</f>
        <v>jan/26</v>
      </c>
      <c r="B4" s="23" t="str">
        <f>IFERROR(1-(DADOS_MENSAIS!D5-DADOS_MENSAIS!E5)/DADOS_MENSAIS!F5,"")</f>
        <v/>
      </c>
      <c r="C4" s="20">
        <f t="shared" ref="C4:C15" si="0">IFERROR(IF(B4&gt;=0.9901,1,IF(B4&gt;=0.9801,0.9,IF(B4&gt;=0.9701,0.8,IF(B4&gt;=0.9601,0.7,0)))),"")</f>
        <v>1</v>
      </c>
      <c r="D4" s="23" t="str">
        <f>IFERROR(DADOS_MENSAIS!H5/DADOS_MENSAIS!G5,"")</f>
        <v/>
      </c>
      <c r="E4" s="20">
        <f t="shared" ref="E4:E15" si="1">IFERROR(IF(D4&gt;=0.9376,1,IF(D4&gt;=0.8751,0.9,IF(D4&gt;=0.8126,0.8,IF(D4&gt;=0.7501,0.7,0)))),"")</f>
        <v>1</v>
      </c>
      <c r="F4" s="23">
        <f>IFERROR(DADOS_MENSAIS!J5/DADOS_MENSAIS!I5,"")</f>
        <v>1</v>
      </c>
      <c r="G4" s="20">
        <f t="shared" ref="G4:G15" si="2">IFERROR(IF(F4&gt;=0.9376,1,IF(F4&gt;=0.8751,0.9,IF(F4&gt;=0.8126,0.8,IF(F4&gt;=0.7501,0.7,0)))),"")</f>
        <v>1</v>
      </c>
      <c r="H4" s="23">
        <f>IFERROR((1440*DADOS_MENSAIS!K5-DADOS_MENSAIS!L5)/(1440*DADOS_MENSAIS!K5),"")</f>
        <v>1</v>
      </c>
      <c r="I4" s="20">
        <f t="shared" ref="I4:I15" si="3">IFERROR(IF(H4&gt;=0.9901,1,IF(H4&gt;=0.9801,0.9,IF(H4&gt;=0.9701,0.8,IF(H4&gt;=0.9601,0.7,0)))),"")</f>
        <v>1</v>
      </c>
      <c r="J4" s="20">
        <f>IFERROR(IF((DADOS_MENSAIS!M5+DADOS_MENSAIS!N5)/100&gt;=0.9,1,IF((DADOS_MENSAIS!M5+DADOS_MENSAIS!N5)/100&gt;=0.7,0.9,0)),"")</f>
        <v>0.9</v>
      </c>
      <c r="K4" s="24">
        <f t="shared" ref="K4:K15" si="4">IFERROR(C4*0.4+E4*0.2+G4*0.2+I4*0.1+J4*0.1,"")</f>
        <v>0.99</v>
      </c>
      <c r="L4" s="25">
        <f>IFERROR(DADOS_MENSAIS!B5*DADOS_MENSAIS!C5*K4,"")</f>
        <v>202774.18095000001</v>
      </c>
    </row>
    <row r="5" spans="1:16" x14ac:dyDescent="0.25">
      <c r="A5" s="26" t="str">
        <f>DADOS_MENSAIS!A6</f>
        <v>fev/26</v>
      </c>
      <c r="B5" s="27" t="str">
        <f>IFERROR(1-(DADOS_MENSAIS!D6-DADOS_MENSAIS!E6)/DADOS_MENSAIS!F6,"")</f>
        <v/>
      </c>
      <c r="C5" s="28">
        <f t="shared" si="0"/>
        <v>1</v>
      </c>
      <c r="D5" s="27" t="str">
        <f>IFERROR(DADOS_MENSAIS!H6/DADOS_MENSAIS!G6,"")</f>
        <v/>
      </c>
      <c r="E5" s="28">
        <f t="shared" si="1"/>
        <v>1</v>
      </c>
      <c r="F5" s="27">
        <f>IFERROR(DADOS_MENSAIS!J6/DADOS_MENSAIS!I6,"")</f>
        <v>1</v>
      </c>
      <c r="G5" s="28">
        <f t="shared" si="2"/>
        <v>1</v>
      </c>
      <c r="H5" s="27">
        <f>IFERROR((1440*DADOS_MENSAIS!K6-DADOS_MENSAIS!L6)/(1440*DADOS_MENSAIS!K6),"")</f>
        <v>1</v>
      </c>
      <c r="I5" s="28">
        <f t="shared" si="3"/>
        <v>1</v>
      </c>
      <c r="J5" s="28">
        <f>IFERROR(IF((DADOS_MENSAIS!M6+DADOS_MENSAIS!N6)/100&gt;=0.9,1,IF((DADOS_MENSAIS!M6+DADOS_MENSAIS!N6)/100&gt;=0.7,0.9,0)),"")</f>
        <v>1</v>
      </c>
      <c r="K5" s="29">
        <f t="shared" si="4"/>
        <v>1</v>
      </c>
      <c r="L5" s="30">
        <f>IFERROR(DADOS_MENSAIS!B6*DADOS_MENSAIS!C6*K5,"")</f>
        <v>204822.405</v>
      </c>
    </row>
    <row r="6" spans="1:16" x14ac:dyDescent="0.25">
      <c r="A6" s="22" t="str">
        <f>DADOS_MENSAIS!A7</f>
        <v>mar/26</v>
      </c>
      <c r="B6" s="23">
        <f>IFERROR(1-(DADOS_MENSAIS!D7-DADOS_MENSAIS!E7)/DADOS_MENSAIS!F7,"")</f>
        <v>1</v>
      </c>
      <c r="C6" s="20">
        <f t="shared" si="0"/>
        <v>1</v>
      </c>
      <c r="D6" s="23" t="str">
        <f>IFERROR(DADOS_MENSAIS!H7/DADOS_MENSAIS!G7,"")</f>
        <v/>
      </c>
      <c r="E6" s="20">
        <f t="shared" si="1"/>
        <v>1</v>
      </c>
      <c r="F6" s="23">
        <f>IFERROR(DADOS_MENSAIS!J7/DADOS_MENSAIS!I7,"")</f>
        <v>1</v>
      </c>
      <c r="G6" s="20">
        <f t="shared" si="2"/>
        <v>1</v>
      </c>
      <c r="H6" s="23">
        <f>IFERROR((1440*DADOS_MENSAIS!K7-DADOS_MENSAIS!L7)/(1440*DADOS_MENSAIS!K7),"")</f>
        <v>1</v>
      </c>
      <c r="I6" s="20">
        <f t="shared" si="3"/>
        <v>1</v>
      </c>
      <c r="J6" s="20">
        <f>IFERROR(IF((DADOS_MENSAIS!M7+DADOS_MENSAIS!N7)/100&gt;=0.9,1,IF((DADOS_MENSAIS!M7+DADOS_MENSAIS!N7)/100&gt;=0.7,0.9,0)),"")</f>
        <v>1</v>
      </c>
      <c r="K6" s="24">
        <f t="shared" si="4"/>
        <v>1</v>
      </c>
      <c r="L6" s="25">
        <f>IFERROR(DADOS_MENSAIS!B7*DADOS_MENSAIS!C7*K6,"")</f>
        <v>204822.405</v>
      </c>
    </row>
    <row r="7" spans="1:16" x14ac:dyDescent="0.25">
      <c r="A7" s="26" t="str">
        <f>DADOS_MENSAIS!A8</f>
        <v>abr/26</v>
      </c>
      <c r="B7" s="27">
        <f>IFERROR(1-(DADOS_MENSAIS!D8-DADOS_MENSAIS!E8)/DADOS_MENSAIS!F8,"")</f>
        <v>0.98608224699288372</v>
      </c>
      <c r="C7" s="28">
        <f t="shared" si="0"/>
        <v>0.9</v>
      </c>
      <c r="D7" s="27">
        <f>IFERROR(DADOS_MENSAIS!H8/DADOS_MENSAIS!G8,"")</f>
        <v>1</v>
      </c>
      <c r="E7" s="28">
        <f t="shared" si="1"/>
        <v>1</v>
      </c>
      <c r="F7" s="27">
        <f>IFERROR(DADOS_MENSAIS!J8/DADOS_MENSAIS!I8,"")</f>
        <v>1</v>
      </c>
      <c r="G7" s="28">
        <f t="shared" si="2"/>
        <v>1</v>
      </c>
      <c r="H7" s="27">
        <f>IFERROR((1440*DADOS_MENSAIS!K8-DADOS_MENSAIS!L8)/(1440*DADOS_MENSAIS!K8),"")</f>
        <v>1</v>
      </c>
      <c r="I7" s="28">
        <f t="shared" si="3"/>
        <v>1</v>
      </c>
      <c r="J7" s="28">
        <f>IFERROR(IF((DADOS_MENSAIS!M8+DADOS_MENSAIS!N8)/100&gt;=0.9,1,IF((DADOS_MENSAIS!M8+DADOS_MENSAIS!N8)/100&gt;=0.7,0.9,0)),"")</f>
        <v>1</v>
      </c>
      <c r="K7" s="29">
        <f t="shared" si="4"/>
        <v>0.96</v>
      </c>
      <c r="L7" s="30">
        <f>IFERROR(DADOS_MENSAIS!B8*DADOS_MENSAIS!C8*K7,"")</f>
        <v>205025.64480000001</v>
      </c>
    </row>
    <row r="8" spans="1:16" x14ac:dyDescent="0.25">
      <c r="A8" s="22" t="str">
        <f>DADOS_MENSAIS!A9</f>
        <v>mai/26</v>
      </c>
      <c r="B8" s="23" t="str">
        <f>IFERROR(1-(DADOS_MENSAIS!D9-DADOS_MENSAIS!E9)/DADOS_MENSAIS!F9,"")</f>
        <v/>
      </c>
      <c r="C8" s="20">
        <f t="shared" si="0"/>
        <v>1</v>
      </c>
      <c r="D8" s="23" t="str">
        <f>IFERROR(DADOS_MENSAIS!H9/DADOS_MENSAIS!G9,"")</f>
        <v/>
      </c>
      <c r="E8" s="20">
        <f t="shared" si="1"/>
        <v>1</v>
      </c>
      <c r="F8" s="23" t="str">
        <f>IFERROR(DADOS_MENSAIS!J9/DADOS_MENSAIS!I9,"")</f>
        <v/>
      </c>
      <c r="G8" s="20">
        <f t="shared" si="2"/>
        <v>1</v>
      </c>
      <c r="H8" s="23">
        <f>IFERROR((1440*DADOS_MENSAIS!K9-DADOS_MENSAIS!L9)/(1440*DADOS_MENSAIS!K9),"")</f>
        <v>1</v>
      </c>
      <c r="I8" s="20">
        <f t="shared" si="3"/>
        <v>1</v>
      </c>
      <c r="J8" s="20">
        <f>IFERROR(IF((DADOS_MENSAIS!M9+DADOS_MENSAIS!N9)/100&gt;=0.9,1,IF((DADOS_MENSAIS!M9+DADOS_MENSAIS!N9)/100&gt;=0.7,0.9,0)),"")</f>
        <v>0</v>
      </c>
      <c r="K8" s="24">
        <f t="shared" si="4"/>
        <v>0.9</v>
      </c>
      <c r="L8" s="25">
        <f>IFERROR(DADOS_MENSAIS!B9*DADOS_MENSAIS!C9*K8,"")</f>
        <v>0</v>
      </c>
    </row>
    <row r="9" spans="1:16" x14ac:dyDescent="0.25">
      <c r="A9" s="26" t="str">
        <f>DADOS_MENSAIS!A10</f>
        <v>jun/26</v>
      </c>
      <c r="B9" s="27" t="str">
        <f>IFERROR(1-(DADOS_MENSAIS!D10-DADOS_MENSAIS!E10)/DADOS_MENSAIS!F10,"")</f>
        <v/>
      </c>
      <c r="C9" s="28">
        <f t="shared" si="0"/>
        <v>1</v>
      </c>
      <c r="D9" s="27" t="str">
        <f>IFERROR(DADOS_MENSAIS!H10/DADOS_MENSAIS!G10,"")</f>
        <v/>
      </c>
      <c r="E9" s="28">
        <f t="shared" si="1"/>
        <v>1</v>
      </c>
      <c r="F9" s="27" t="str">
        <f>IFERROR(DADOS_MENSAIS!J10/DADOS_MENSAIS!I10,"")</f>
        <v/>
      </c>
      <c r="G9" s="28">
        <f t="shared" si="2"/>
        <v>1</v>
      </c>
      <c r="H9" s="27">
        <f>IFERROR((1440*DADOS_MENSAIS!K10-DADOS_MENSAIS!L10)/(1440*DADOS_MENSAIS!K10),"")</f>
        <v>1</v>
      </c>
      <c r="I9" s="28">
        <f t="shared" si="3"/>
        <v>1</v>
      </c>
      <c r="J9" s="28">
        <f>IFERROR(IF((DADOS_MENSAIS!M10+DADOS_MENSAIS!N10)/100&gt;=0.9,1,IF((DADOS_MENSAIS!M10+DADOS_MENSAIS!N10)/100&gt;=0.7,0.9,0)),"")</f>
        <v>0</v>
      </c>
      <c r="K9" s="29">
        <f t="shared" si="4"/>
        <v>0.9</v>
      </c>
      <c r="L9" s="30">
        <f>IFERROR(DADOS_MENSAIS!B10*DADOS_MENSAIS!C10*K9,"")</f>
        <v>0</v>
      </c>
    </row>
    <row r="10" spans="1:16" x14ac:dyDescent="0.25">
      <c r="A10" s="22" t="str">
        <f>DADOS_MENSAIS!A11</f>
        <v>jul/26</v>
      </c>
      <c r="B10" s="23" t="str">
        <f>IFERROR(1-(DADOS_MENSAIS!D11-DADOS_MENSAIS!E11)/DADOS_MENSAIS!F11,"")</f>
        <v/>
      </c>
      <c r="C10" s="20">
        <f t="shared" si="0"/>
        <v>1</v>
      </c>
      <c r="D10" s="23" t="str">
        <f>IFERROR(DADOS_MENSAIS!H11/DADOS_MENSAIS!G11,"")</f>
        <v/>
      </c>
      <c r="E10" s="20">
        <f t="shared" si="1"/>
        <v>1</v>
      </c>
      <c r="F10" s="23" t="str">
        <f>IFERROR(DADOS_MENSAIS!J11/DADOS_MENSAIS!I11,"")</f>
        <v/>
      </c>
      <c r="G10" s="20">
        <f t="shared" si="2"/>
        <v>1</v>
      </c>
      <c r="H10" s="23">
        <f>IFERROR((1440*DADOS_MENSAIS!K11-DADOS_MENSAIS!L11)/(1440*DADOS_MENSAIS!K11),"")</f>
        <v>1</v>
      </c>
      <c r="I10" s="20">
        <f t="shared" si="3"/>
        <v>1</v>
      </c>
      <c r="J10" s="20">
        <f>IFERROR(IF((DADOS_MENSAIS!M11+DADOS_MENSAIS!N11)/100&gt;=0.9,1,IF((DADOS_MENSAIS!M11+DADOS_MENSAIS!N11)/100&gt;=0.7,0.9,0)),"")</f>
        <v>0</v>
      </c>
      <c r="K10" s="24">
        <f t="shared" si="4"/>
        <v>0.9</v>
      </c>
      <c r="L10" s="25">
        <f>IFERROR(DADOS_MENSAIS!B11*DADOS_MENSAIS!C11*K10,"")</f>
        <v>0</v>
      </c>
    </row>
    <row r="11" spans="1:16" x14ac:dyDescent="0.25">
      <c r="A11" s="26" t="str">
        <f>DADOS_MENSAIS!A12</f>
        <v>ago/26</v>
      </c>
      <c r="B11" s="27" t="str">
        <f>IFERROR(1-(DADOS_MENSAIS!D12-DADOS_MENSAIS!E12)/DADOS_MENSAIS!F12,"")</f>
        <v/>
      </c>
      <c r="C11" s="28">
        <f t="shared" si="0"/>
        <v>1</v>
      </c>
      <c r="D11" s="27" t="str">
        <f>IFERROR(DADOS_MENSAIS!H12/DADOS_MENSAIS!G12,"")</f>
        <v/>
      </c>
      <c r="E11" s="28">
        <f t="shared" si="1"/>
        <v>1</v>
      </c>
      <c r="F11" s="27" t="str">
        <f>IFERROR(DADOS_MENSAIS!J12/DADOS_MENSAIS!I12,"")</f>
        <v/>
      </c>
      <c r="G11" s="28">
        <f t="shared" si="2"/>
        <v>1</v>
      </c>
      <c r="H11" s="27">
        <f>IFERROR((1440*DADOS_MENSAIS!K12-DADOS_MENSAIS!L12)/(1440*DADOS_MENSAIS!K12),"")</f>
        <v>1</v>
      </c>
      <c r="I11" s="28">
        <f t="shared" si="3"/>
        <v>1</v>
      </c>
      <c r="J11" s="28">
        <f>IFERROR(IF((DADOS_MENSAIS!M12+DADOS_MENSAIS!N12)/100&gt;=0.9,1,IF((DADOS_MENSAIS!M12+DADOS_MENSAIS!N12)/100&gt;=0.7,0.9,0)),"")</f>
        <v>0</v>
      </c>
      <c r="K11" s="29">
        <f t="shared" si="4"/>
        <v>0.9</v>
      </c>
      <c r="L11" s="30">
        <f>IFERROR(DADOS_MENSAIS!B12*DADOS_MENSAIS!C12*K11,"")</f>
        <v>0</v>
      </c>
    </row>
    <row r="12" spans="1:16" x14ac:dyDescent="0.25">
      <c r="A12" s="22" t="str">
        <f>DADOS_MENSAIS!A13</f>
        <v>set/26</v>
      </c>
      <c r="B12" s="23" t="str">
        <f>IFERROR(1-(DADOS_MENSAIS!D13-DADOS_MENSAIS!E13)/DADOS_MENSAIS!F13,"")</f>
        <v/>
      </c>
      <c r="C12" s="20">
        <f t="shared" si="0"/>
        <v>1</v>
      </c>
      <c r="D12" s="23" t="str">
        <f>IFERROR(DADOS_MENSAIS!H13/DADOS_MENSAIS!G13,"")</f>
        <v/>
      </c>
      <c r="E12" s="20">
        <f t="shared" si="1"/>
        <v>1</v>
      </c>
      <c r="F12" s="23" t="str">
        <f>IFERROR(DADOS_MENSAIS!J13/DADOS_MENSAIS!I13,"")</f>
        <v/>
      </c>
      <c r="G12" s="20">
        <f t="shared" si="2"/>
        <v>1</v>
      </c>
      <c r="H12" s="23">
        <f>IFERROR((1440*DADOS_MENSAIS!K13-DADOS_MENSAIS!L13)/(1440*DADOS_MENSAIS!K13),"")</f>
        <v>1</v>
      </c>
      <c r="I12" s="20">
        <f t="shared" si="3"/>
        <v>1</v>
      </c>
      <c r="J12" s="20">
        <f>IFERROR(IF((DADOS_MENSAIS!M13+DADOS_MENSAIS!N13)/100&gt;=0.9,1,IF((DADOS_MENSAIS!M13+DADOS_MENSAIS!N13)/100&gt;=0.7,0.9,0)),"")</f>
        <v>0</v>
      </c>
      <c r="K12" s="24">
        <f t="shared" si="4"/>
        <v>0.9</v>
      </c>
      <c r="L12" s="25">
        <f>IFERROR(DADOS_MENSAIS!B13*DADOS_MENSAIS!C13*K12,"")</f>
        <v>0</v>
      </c>
    </row>
    <row r="13" spans="1:16" x14ac:dyDescent="0.25">
      <c r="A13" s="26" t="str">
        <f>DADOS_MENSAIS!A14</f>
        <v>out/26</v>
      </c>
      <c r="B13" s="27" t="str">
        <f>IFERROR(1-(DADOS_MENSAIS!D14-DADOS_MENSAIS!E14)/DADOS_MENSAIS!F14,"")</f>
        <v/>
      </c>
      <c r="C13" s="28">
        <f t="shared" si="0"/>
        <v>1</v>
      </c>
      <c r="D13" s="27" t="str">
        <f>IFERROR(DADOS_MENSAIS!H14/DADOS_MENSAIS!G14,"")</f>
        <v/>
      </c>
      <c r="E13" s="28">
        <f t="shared" si="1"/>
        <v>1</v>
      </c>
      <c r="F13" s="27" t="str">
        <f>IFERROR(DADOS_MENSAIS!J14/DADOS_MENSAIS!I14,"")</f>
        <v/>
      </c>
      <c r="G13" s="28">
        <f t="shared" si="2"/>
        <v>1</v>
      </c>
      <c r="H13" s="27">
        <f>IFERROR((1440*DADOS_MENSAIS!K14-DADOS_MENSAIS!L14)/(1440*DADOS_MENSAIS!K14),"")</f>
        <v>1</v>
      </c>
      <c r="I13" s="28">
        <f t="shared" si="3"/>
        <v>1</v>
      </c>
      <c r="J13" s="28">
        <f>IFERROR(IF((DADOS_MENSAIS!M14+DADOS_MENSAIS!N14)/100&gt;=0.9,1,IF((DADOS_MENSAIS!M14+DADOS_MENSAIS!N14)/100&gt;=0.7,0.9,0)),"")</f>
        <v>0</v>
      </c>
      <c r="K13" s="29">
        <f t="shared" si="4"/>
        <v>0.9</v>
      </c>
      <c r="L13" s="30">
        <f>IFERROR(DADOS_MENSAIS!B14*DADOS_MENSAIS!C14*K13,"")</f>
        <v>0</v>
      </c>
    </row>
    <row r="14" spans="1:16" x14ac:dyDescent="0.25">
      <c r="A14" s="22" t="str">
        <f>DADOS_MENSAIS!A15</f>
        <v>nov/26</v>
      </c>
      <c r="B14" s="23" t="str">
        <f>IFERROR(1-(DADOS_MENSAIS!D15-DADOS_MENSAIS!E15)/DADOS_MENSAIS!F15,"")</f>
        <v/>
      </c>
      <c r="C14" s="20">
        <f t="shared" si="0"/>
        <v>1</v>
      </c>
      <c r="D14" s="23" t="str">
        <f>IFERROR(DADOS_MENSAIS!H15/DADOS_MENSAIS!G15,"")</f>
        <v/>
      </c>
      <c r="E14" s="20">
        <f t="shared" si="1"/>
        <v>1</v>
      </c>
      <c r="F14" s="23" t="str">
        <f>IFERROR(DADOS_MENSAIS!J15/DADOS_MENSAIS!I15,"")</f>
        <v/>
      </c>
      <c r="G14" s="20">
        <f t="shared" si="2"/>
        <v>1</v>
      </c>
      <c r="H14" s="23">
        <f>IFERROR((1440*DADOS_MENSAIS!K15-DADOS_MENSAIS!L15)/(1440*DADOS_MENSAIS!K15),"")</f>
        <v>1</v>
      </c>
      <c r="I14" s="20">
        <f t="shared" si="3"/>
        <v>1</v>
      </c>
      <c r="J14" s="20">
        <f>IFERROR(IF((DADOS_MENSAIS!M15+DADOS_MENSAIS!N15)/100&gt;=0.9,1,IF((DADOS_MENSAIS!M15+DADOS_MENSAIS!N15)/100&gt;=0.7,0.9,0)),"")</f>
        <v>0</v>
      </c>
      <c r="K14" s="24">
        <f t="shared" si="4"/>
        <v>0.9</v>
      </c>
      <c r="L14" s="25">
        <f>IFERROR(DADOS_MENSAIS!B15*DADOS_MENSAIS!C15*K14,"")</f>
        <v>0</v>
      </c>
    </row>
    <row r="15" spans="1:16" x14ac:dyDescent="0.25">
      <c r="A15" s="26" t="str">
        <f>DADOS_MENSAIS!A16</f>
        <v>dez/26</v>
      </c>
      <c r="B15" s="27" t="str">
        <f>IFERROR(1-(DADOS_MENSAIS!D16-DADOS_MENSAIS!E16)/DADOS_MENSAIS!F16,"")</f>
        <v/>
      </c>
      <c r="C15" s="28">
        <f t="shared" si="0"/>
        <v>1</v>
      </c>
      <c r="D15" s="27" t="str">
        <f>IFERROR(DADOS_MENSAIS!H16/DADOS_MENSAIS!G16,"")</f>
        <v/>
      </c>
      <c r="E15" s="28">
        <f t="shared" si="1"/>
        <v>1</v>
      </c>
      <c r="F15" s="27" t="str">
        <f>IFERROR(DADOS_MENSAIS!J16/DADOS_MENSAIS!I16,"")</f>
        <v/>
      </c>
      <c r="G15" s="28">
        <f t="shared" si="2"/>
        <v>1</v>
      </c>
      <c r="H15" s="27">
        <f>IFERROR((1440*DADOS_MENSAIS!K16-DADOS_MENSAIS!L16)/(1440*DADOS_MENSAIS!K16),"")</f>
        <v>1</v>
      </c>
      <c r="I15" s="28">
        <f t="shared" si="3"/>
        <v>1</v>
      </c>
      <c r="J15" s="28">
        <f>IFERROR(IF((DADOS_MENSAIS!M16+DADOS_MENSAIS!N16)/100&gt;=0.9,1,IF((DADOS_MENSAIS!M16+DADOS_MENSAIS!N16)/100&gt;=0.7,0.9,0)),"")</f>
        <v>0</v>
      </c>
      <c r="K15" s="29">
        <f t="shared" si="4"/>
        <v>0.9</v>
      </c>
      <c r="L15" s="30">
        <f>IFERROR(DADOS_MENSAIS!B16*DADOS_MENSAIS!C16*K15,"")</f>
        <v>0</v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DADOS_MENSAIS</vt:lpstr>
      <vt:lpstr>TABELAS_SLA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 Guimarães</cp:lastModifiedBy>
  <dcterms:created xsi:type="dcterms:W3CDTF">2026-05-14T18:48:35Z</dcterms:created>
  <dcterms:modified xsi:type="dcterms:W3CDTF">2026-05-14T19:01:06Z</dcterms:modified>
</cp:coreProperties>
</file>